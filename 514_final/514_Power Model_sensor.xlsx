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ystem Parameters" sheetId="1" r:id="rId1"/>
    <sheet name="Sensitivity Analysi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<sst xmlns="http://schemas.openxmlformats.org/spreadsheetml/2006/main" count="83" uniqueCount="62">
  <si>
    <t>Sensor Device</t>
  </si>
  <si>
    <t>System Parameters (defined by hardware)</t>
  </si>
  <si>
    <t>Profiles (usage of each component mode - defined by software and usage)</t>
  </si>
  <si>
    <t>form the datasheets</t>
  </si>
  <si>
    <t>datasheet</t>
  </si>
  <si>
    <t>"off"</t>
  </si>
  <si>
    <t>"sensing"</t>
  </si>
  <si>
    <t>"interactive"</t>
  </si>
  <si>
    <t>Processor</t>
  </si>
  <si>
    <t>https://github.com/Sienna-Zhang/514_final/blob/main/514_final/datasheets/ESP32.pdf</t>
  </si>
  <si>
    <t>Active</t>
  </si>
  <si>
    <t>mW</t>
  </si>
  <si>
    <t>Idle</t>
  </si>
  <si>
    <t>Sleep</t>
  </si>
  <si>
    <t>LED</t>
  </si>
  <si>
    <t>On</t>
  </si>
  <si>
    <t>Sensor</t>
  </si>
  <si>
    <t>https://github.com/Sienna-Zhang/514_final/blob/main/514_final/datasheets/soil%20moisture%20sensor.pdf</t>
  </si>
  <si>
    <t>https://github.com/Sienna-Zhang/514_final/blob/main/514_final/datasheets/pH%20sensor.pdf</t>
  </si>
  <si>
    <t>https://github.com/Sienna-Zhang/514_final/blob/main/514_final/datasheets/light%20sensor.pdf</t>
  </si>
  <si>
    <t>Off</t>
  </si>
  <si>
    <t>Display</t>
  </si>
  <si>
    <t>Off (leakage)</t>
  </si>
  <si>
    <t>Radio</t>
  </si>
  <si>
    <t>Data Rate</t>
  </si>
  <si>
    <t>bps</t>
  </si>
  <si>
    <t>Total power in profile (mw)</t>
  </si>
  <si>
    <t xml:space="preserve">Maximum Time </t>
  </si>
  <si>
    <t>Standby Power</t>
  </si>
  <si>
    <t>hours</t>
  </si>
  <si>
    <t>TX Power</t>
  </si>
  <si>
    <t>RX Power</t>
  </si>
  <si>
    <t>hours/day typical usage</t>
  </si>
  <si>
    <t>Effective Battery Capacity</t>
  </si>
  <si>
    <t>Battery</t>
  </si>
  <si>
    <t>mW*h</t>
  </si>
  <si>
    <t>Capacity</t>
  </si>
  <si>
    <t>mAh</t>
  </si>
  <si>
    <t>Nominal Voltage</t>
  </si>
  <si>
    <t>V</t>
  </si>
  <si>
    <t>Days of Use</t>
  </si>
  <si>
    <t>days</t>
  </si>
  <si>
    <t>Regulator Efficiency</t>
  </si>
  <si>
    <t>Hours of Use</t>
  </si>
  <si>
    <t>Device uses 3.3V supply. Power values use P(mW)=3.3*I(mA).
No display is used in this sensor device, so Display On/Off power is set to 0 mW (kept in table for completeness).
Radio data rate kept at the template default (300 bps) because payload size / throughput was not measured in this iteration.
Soil moisture sensor datasheet provided focuses on wiring/code examples and does not list operating current on the pages available, so sensor power uses template placeholders and will be refined when exact ICC values are confirmed. 
Assumption: the soil moisture sensor can be power-gated or disabled during “off” profile; if not possible, set SensorIdle=100% in “off” profile instead of SensorOff=100%.</t>
  </si>
  <si>
    <t xml:space="preserve">REFLECTIONS : WHAT DID YOU LEARN FROM ANALYZING YOUR POWER.  TALK ABOUT SOME POTENTIAL TRADEOFFS. </t>
  </si>
  <si>
    <t>The model shows that WiFi (TX/RX duty cycle) and processor active time dominate the battery life. A small increase in upload frequency or time spent connected can significantly reduce “days of use”, while turning sensors off (or using deep sleep between samples) gives the biggest gains with minimal impact on measurement quality. The main tradeoff is responsiveness vs. energy: keeping WiFi connected and sensors always on simplifies software and reduces latency, but it costs much more power.</t>
  </si>
  <si>
    <t>Linked Data from First Page DO NOT EDIT</t>
  </si>
  <si>
    <t>% change</t>
  </si>
  <si>
    <t>Parameter Name</t>
  </si>
  <si>
    <t>ProcessorActive</t>
  </si>
  <si>
    <t>ProcessorIdle</t>
  </si>
  <si>
    <t>ProcessorOff</t>
  </si>
  <si>
    <t>LEDOn</t>
  </si>
  <si>
    <t>SensorOn</t>
  </si>
  <si>
    <t>SensorIdle</t>
  </si>
  <si>
    <t>SensorOff</t>
  </si>
  <si>
    <t>DisplayOn</t>
  </si>
  <si>
    <t>DisplayOff</t>
  </si>
  <si>
    <t>RadioStandby</t>
  </si>
  <si>
    <t>RadioTX</t>
  </si>
  <si>
    <t>RadioRX</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</si>
</sst>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3">
    <font>
      <sz val="10"/>
      <color rgb="FF000000"/>
      <name val="Arial"/>
      <charset val="134"/>
      <scheme val="minor"/>
    </font>
    <font>
      <sz val="10"/>
      <color theme="1"/>
      <name val="Arial"/>
      <charset val="134"/>
      <scheme val="minor"/>
    </font>
    <font>
      <b/>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6">
    <fill>
      <patternFill patternType="none"/>
    </fill>
    <fill>
      <patternFill patternType="gray125"/>
    </fill>
    <fill>
      <patternFill patternType="solid">
        <fgColor rgb="FFFFF2CC"/>
        <bgColor rgb="FFFFF2CC"/>
      </patternFill>
    </fill>
    <fill>
      <patternFill patternType="solid">
        <fgColor rgb="FFD9EAD3"/>
        <bgColor rgb="FFD9EAD3"/>
      </patternFill>
    </fill>
    <fill>
      <patternFill patternType="solid">
        <fgColor rgb="FFB6D7A8"/>
        <bgColor rgb="FFB6D7A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9"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10" applyNumberFormat="0" applyFill="0" applyAlignment="0" applyProtection="0">
      <alignment vertical="center"/>
    </xf>
    <xf numFmtId="0" fontId="10" fillId="0" borderId="10" applyNumberFormat="0" applyFill="0" applyAlignment="0" applyProtection="0">
      <alignment vertical="center"/>
    </xf>
    <xf numFmtId="0" fontId="11" fillId="0" borderId="11" applyNumberFormat="0" applyFill="0" applyAlignment="0" applyProtection="0">
      <alignment vertical="center"/>
    </xf>
    <xf numFmtId="0" fontId="11" fillId="0" borderId="0" applyNumberFormat="0" applyFill="0" applyBorder="0" applyAlignment="0" applyProtection="0">
      <alignment vertical="center"/>
    </xf>
    <xf numFmtId="0" fontId="12" fillId="6" borderId="12" applyNumberFormat="0" applyAlignment="0" applyProtection="0">
      <alignment vertical="center"/>
    </xf>
    <xf numFmtId="0" fontId="13" fillId="7" borderId="13" applyNumberFormat="0" applyAlignment="0" applyProtection="0">
      <alignment vertical="center"/>
    </xf>
    <xf numFmtId="0" fontId="14" fillId="7" borderId="12" applyNumberFormat="0" applyAlignment="0" applyProtection="0">
      <alignment vertical="center"/>
    </xf>
    <xf numFmtId="0" fontId="15" fillId="8" borderId="14" applyNumberFormat="0" applyAlignment="0" applyProtection="0">
      <alignment vertical="center"/>
    </xf>
    <xf numFmtId="0" fontId="16" fillId="0" borderId="15" applyNumberFormat="0" applyFill="0" applyAlignment="0" applyProtection="0">
      <alignment vertical="center"/>
    </xf>
    <xf numFmtId="0" fontId="17" fillId="0" borderId="16"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26">
    <xf numFmtId="0" fontId="0" fillId="0" borderId="0" xfId="0"/>
    <xf numFmtId="0" fontId="1" fillId="0" borderId="0" xfId="0" applyFont="1"/>
    <xf numFmtId="1" fontId="1" fillId="0" borderId="0" xfId="0" applyNumberFormat="1" applyFont="1"/>
    <xf numFmtId="9" fontId="1" fillId="0" borderId="0" xfId="0" applyNumberFormat="1" applyFont="1"/>
    <xf numFmtId="10" fontId="1" fillId="0" borderId="0" xfId="0" applyNumberFormat="1" applyFont="1"/>
    <xf numFmtId="0" fontId="1" fillId="0" borderId="1" xfId="0" applyFont="1" applyBorder="1"/>
    <xf numFmtId="0" fontId="1" fillId="0" borderId="2" xfId="0" applyFont="1" applyBorder="1"/>
    <xf numFmtId="0" fontId="1" fillId="0" borderId="3" xfId="0" applyFont="1" applyBorder="1"/>
    <xf numFmtId="0" fontId="2" fillId="0" borderId="4" xfId="0" applyFont="1" applyBorder="1"/>
    <xf numFmtId="0" fontId="2" fillId="0" borderId="0" xfId="0" applyFont="1"/>
    <xf numFmtId="0" fontId="1" fillId="0" borderId="5" xfId="0" applyFont="1" applyBorder="1"/>
    <xf numFmtId="0" fontId="1" fillId="0" borderId="4" xfId="0" applyFont="1" applyBorder="1"/>
    <xf numFmtId="0" fontId="3" fillId="0" borderId="0" xfId="0" applyFont="1"/>
    <xf numFmtId="1" fontId="3" fillId="2" borderId="0" xfId="0" applyNumberFormat="1" applyFont="1" applyFill="1"/>
    <xf numFmtId="9" fontId="1" fillId="2" borderId="0" xfId="0" applyNumberFormat="1" applyFont="1" applyFill="1"/>
    <xf numFmtId="9" fontId="3" fillId="2" borderId="0" xfId="0" applyNumberFormat="1" applyFont="1" applyFill="1"/>
    <xf numFmtId="1" fontId="1" fillId="2" borderId="0" xfId="0" applyNumberFormat="1" applyFont="1" applyFill="1"/>
    <xf numFmtId="0" fontId="1" fillId="2" borderId="0" xfId="0" applyFont="1" applyFill="1"/>
    <xf numFmtId="0" fontId="1" fillId="3" borderId="0" xfId="0" applyFont="1" applyFill="1"/>
    <xf numFmtId="176" fontId="1" fillId="3" borderId="0" xfId="0" applyNumberFormat="1" applyFont="1" applyFill="1"/>
    <xf numFmtId="0" fontId="2" fillId="4" borderId="0" xfId="0" applyFont="1" applyFill="1"/>
    <xf numFmtId="2" fontId="2" fillId="4" borderId="0" xfId="0" applyNumberFormat="1" applyFont="1" applyFill="1"/>
    <xf numFmtId="0" fontId="1" fillId="0" borderId="6" xfId="0" applyFont="1" applyBorder="1"/>
    <xf numFmtId="0" fontId="1" fillId="0" borderId="7" xfId="0" applyFont="1" applyBorder="1"/>
    <xf numFmtId="0" fontId="1" fillId="0" borderId="8" xfId="0" applyFont="1" applyBorder="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lang="en-US" b="0">
                <a:solidFill>
                  <a:srgbClr val="757575"/>
                </a:solidFill>
                <a:latin typeface="+mn-lt"/>
              </a:rPr>
              <a:t>Sensitivity Analysis</a:t>
            </a:r>
            <a:endParaRPr lang="en-US" b="0">
              <a:solidFill>
                <a:srgbClr val="757575"/>
              </a:solidFill>
              <a:latin typeface="+mn-lt"/>
            </a:endParaRPr>
          </a:p>
        </c:rich>
      </c:tx>
      <c:layout/>
      <c:overlay val="0"/>
    </c:title>
    <c:autoTitleDeleted val="0"/>
    <c:plotArea>
      <c:layout/>
      <c:barChart>
        <c:barDir val="col"/>
        <c:grouping val="clustered"/>
        <c:varyColors val="1"/>
        <c:ser>
          <c:idx val="0"/>
          <c:order val="0"/>
          <c:invertIfNegative val="1"/>
          <c:dPt>
            <c:idx val="0"/>
            <c:invertIfNegative val="1"/>
            <c:bubble3D val="0"/>
          </c:dPt>
          <c:dPt>
            <c:idx val="1"/>
            <c:invertIfNegative val="1"/>
            <c:bubble3D val="0"/>
          </c:dPt>
          <c:dPt>
            <c:idx val="2"/>
            <c:invertIfNegative val="1"/>
            <c:bubble3D val="0"/>
          </c:dPt>
          <c:dPt>
            <c:idx val="3"/>
            <c:invertIfNegative val="1"/>
            <c:bubble3D val="0"/>
          </c:dPt>
          <c:dPt>
            <c:idx val="4"/>
            <c:invertIfNegative val="1"/>
            <c:bubble3D val="0"/>
          </c:dPt>
          <c:dPt>
            <c:idx val="5"/>
            <c:invertIfNegative val="1"/>
            <c:bubble3D val="0"/>
          </c:dPt>
          <c:dPt>
            <c:idx val="6"/>
            <c:invertIfNegative val="1"/>
            <c:bubble3D val="0"/>
          </c:dPt>
          <c:dPt>
            <c:idx val="7"/>
            <c:invertIfNegative val="1"/>
            <c:bubble3D val="0"/>
          </c:dPt>
          <c:dPt>
            <c:idx val="8"/>
            <c:invertIfNegative val="1"/>
            <c:bubble3D val="0"/>
          </c:dPt>
          <c:dPt>
            <c:idx val="9"/>
            <c:invertIfNegative val="1"/>
            <c:bubble3D val="0"/>
          </c:dPt>
          <c:dPt>
            <c:idx val="10"/>
            <c:invertIfNegative val="1"/>
            <c:bubble3D val="0"/>
          </c:dPt>
          <c:dPt>
            <c:idx val="11"/>
            <c:invertIfNegative val="1"/>
            <c:bubble3D val="0"/>
          </c:dPt>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0.00995075903302145</c:v>
                </c:pt>
                <c:pt idx="1">
                  <c:v>0.0027959716838859</c:v>
                </c:pt>
                <c:pt idx="2">
                  <c:v>0.000706467024507162</c:v>
                </c:pt>
                <c:pt idx="3">
                  <c:v>0.000313768222167443</c:v>
                </c:pt>
                <c:pt idx="4">
                  <c:v>0.00160895416994111</c:v>
                </c:pt>
                <c:pt idx="5">
                  <c:v>0.0894159156678005</c:v>
                </c:pt>
                <c:pt idx="6">
                  <c:v>0</c:v>
                </c:pt>
                <c:pt idx="7">
                  <c:v>0</c:v>
                </c:pt>
                <c:pt idx="8">
                  <c:v>0</c:v>
                </c:pt>
                <c:pt idx="9">
                  <c:v>0.00187815427361571</c:v>
                </c:pt>
                <c:pt idx="10">
                  <c:v>0.000612929275334739</c:v>
                </c:pt>
                <c:pt idx="11">
                  <c:v>0.000169008924200353</c:v>
                </c:pt>
              </c:numCache>
            </c:numRef>
          </c:val>
        </c:ser>
        <c:dLbls>
          <c:showLegendKey val="0"/>
          <c:showVal val="0"/>
          <c:showCatName val="0"/>
          <c:showSerName val="0"/>
          <c:showPercent val="0"/>
          <c:showBubbleSize val="0"/>
        </c:dLbls>
        <c:gapWidth val="150"/>
        <c:axId val="1164540363"/>
        <c:axId val="1570688690"/>
      </c:barChart>
      <c:catAx>
        <c:axId val="1164540363"/>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1570688690"/>
        <c:crosses val="autoZero"/>
        <c:auto val="1"/>
        <c:lblAlgn val="ctr"/>
        <c:lblOffset val="100"/>
        <c:noMultiLvlLbl val="1"/>
      </c:catAx>
      <c:valAx>
        <c:axId val="1570688690"/>
        <c:scaling>
          <c:orientation val="minMax"/>
        </c:scaling>
        <c:delete val="0"/>
        <c:axPos val="l"/>
        <c:numFmt formatCode="0.00%" sourceLinked="1"/>
        <c:majorTickMark val="cross"/>
        <c:minorTickMark val="cross"/>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164540363"/>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zero"/>
    <c:showDLblsOverMax val="1"/>
    <c:extLst>
      <c:ext uri="{0b15fc19-7d7d-44ad-8c2d-2c3a37ce22c3}">
        <chartProps xmlns="https://web.wps.cn/et/2018/main" chartId="{c6b3eb3f-a470-45a5-91b5-d5572affe3d2}"/>
      </c:ext>
    </c:extLst>
  </c:chart>
  <c:txPr>
    <a:bodyPr/>
    <a:lstStyle/>
    <a:p>
      <a:pPr>
        <a:defRPr lang="zh-CN"/>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lvl="0">
              <a:defRPr lang="zh-CN" sz="1800" b="0" i="0" u="none" strike="noStrike" kern="1200" baseline="0">
                <a:solidFill>
                  <a:srgbClr val="757575"/>
                </a:solidFill>
                <a:latin typeface="+mn-lt"/>
                <a:ea typeface="+mn-ea"/>
                <a:cs typeface="+mn-cs"/>
              </a:defRPr>
            </a:pPr>
            <a:r>
              <a:rPr b="0">
                <a:solidFill>
                  <a:srgbClr val="757575"/>
                </a:solidFill>
                <a:latin typeface="+mn-lt"/>
              </a:rPr>
              <a:t>Sensitivity Analysis</a:t>
            </a:r>
            <a:endParaRPr b="0">
              <a:solidFill>
                <a:srgbClr val="757575"/>
              </a:solidFill>
              <a:latin typeface="+mn-lt"/>
            </a:endParaRPr>
          </a:p>
        </c:rich>
      </c:tx>
      <c:layout/>
      <c:overlay val="0"/>
    </c:title>
    <c:autoTitleDeleted val="0"/>
    <c:plotArea>
      <c:layout/>
      <c:barChart>
        <c:barDir val="col"/>
        <c:grouping val="clustered"/>
        <c:varyColors val="1"/>
        <c:ser>
          <c:idx val="0"/>
          <c:order val="0"/>
          <c:invertIfNegative val="1"/>
          <c:dPt>
            <c:idx val="0"/>
            <c:invertIfNegative val="1"/>
            <c:bubble3D val="0"/>
          </c:dPt>
          <c:dPt>
            <c:idx val="1"/>
            <c:invertIfNegative val="1"/>
            <c:bubble3D val="0"/>
          </c:dPt>
          <c:dPt>
            <c:idx val="2"/>
            <c:invertIfNegative val="1"/>
            <c:bubble3D val="0"/>
          </c:dPt>
          <c:dPt>
            <c:idx val="3"/>
            <c:invertIfNegative val="1"/>
            <c:bubble3D val="0"/>
          </c:dPt>
          <c:dPt>
            <c:idx val="4"/>
            <c:invertIfNegative val="1"/>
            <c:bubble3D val="0"/>
          </c:dPt>
          <c:dPt>
            <c:idx val="5"/>
            <c:invertIfNegative val="1"/>
            <c:bubble3D val="0"/>
          </c:dPt>
          <c:dPt>
            <c:idx val="6"/>
            <c:invertIfNegative val="1"/>
            <c:bubble3D val="0"/>
          </c:dPt>
          <c:dPt>
            <c:idx val="7"/>
            <c:invertIfNegative val="1"/>
            <c:bubble3D val="0"/>
          </c:dPt>
          <c:dPt>
            <c:idx val="8"/>
            <c:invertIfNegative val="1"/>
            <c:bubble3D val="0"/>
          </c:dPt>
          <c:dPt>
            <c:idx val="9"/>
            <c:invertIfNegative val="1"/>
            <c:bubble3D val="0"/>
          </c:dPt>
          <c:dPt>
            <c:idx val="10"/>
            <c:invertIfNegative val="1"/>
            <c:bubble3D val="0"/>
          </c:dPt>
          <c:dPt>
            <c:idx val="11"/>
            <c:invertIfNegative val="1"/>
            <c:bubble3D val="0"/>
          </c:dPt>
          <c:dLbls>
            <c:delete val="1"/>
          </c:dLbls>
          <c:cat>
            <c:strRef>
              <c:f>'Sensitivity Analysis'!$D$99:$O$99</c:f>
              <c:strCache>
                <c:ptCount val="12"/>
                <c:pt idx="0">
                  <c:v>ProcessorActive</c:v>
                </c:pt>
                <c:pt idx="1">
                  <c:v>ProcessorIdle</c:v>
                </c:pt>
                <c:pt idx="2">
                  <c:v>ProcessorOff</c:v>
                </c:pt>
                <c:pt idx="3">
                  <c:v>LEDOn</c:v>
                </c:pt>
                <c:pt idx="4">
                  <c:v>SensorOn</c:v>
                </c:pt>
                <c:pt idx="5">
                  <c:v>SensorIdle</c:v>
                </c:pt>
                <c:pt idx="6">
                  <c:v>SensorOff</c:v>
                </c:pt>
                <c:pt idx="7">
                  <c:v>DisplayOn</c:v>
                </c:pt>
                <c:pt idx="8">
                  <c:v>DisplayOff</c:v>
                </c:pt>
                <c:pt idx="9">
                  <c:v>RadioStandby</c:v>
                </c:pt>
                <c:pt idx="10">
                  <c:v>RadioTX</c:v>
                </c:pt>
                <c:pt idx="11">
                  <c:v>RadioRX</c:v>
                </c:pt>
              </c:strCache>
            </c:strRef>
          </c:cat>
          <c:val>
            <c:numRef>
              <c:f>'Sensitivity Analysis'!$D$98:$O$98</c:f>
              <c:numCache>
                <c:formatCode>0.00%</c:formatCode>
                <c:ptCount val="12"/>
                <c:pt idx="0">
                  <c:v>0.00995075903302145</c:v>
                </c:pt>
                <c:pt idx="1">
                  <c:v>0.0027959716838859</c:v>
                </c:pt>
                <c:pt idx="2">
                  <c:v>0.000706467024507162</c:v>
                </c:pt>
                <c:pt idx="3">
                  <c:v>0.000313768222167443</c:v>
                </c:pt>
                <c:pt idx="4">
                  <c:v>0.00160895416994111</c:v>
                </c:pt>
                <c:pt idx="5">
                  <c:v>0.0894159156678005</c:v>
                </c:pt>
                <c:pt idx="6">
                  <c:v>0</c:v>
                </c:pt>
                <c:pt idx="7">
                  <c:v>0</c:v>
                </c:pt>
                <c:pt idx="8">
                  <c:v>0</c:v>
                </c:pt>
                <c:pt idx="9">
                  <c:v>0.00187815427361571</c:v>
                </c:pt>
                <c:pt idx="10">
                  <c:v>0.000612929275334739</c:v>
                </c:pt>
                <c:pt idx="11">
                  <c:v>0.000169008924200353</c:v>
                </c:pt>
              </c:numCache>
            </c:numRef>
          </c:val>
        </c:ser>
        <c:dLbls>
          <c:showLegendKey val="0"/>
          <c:showVal val="0"/>
          <c:showCatName val="0"/>
          <c:showSerName val="0"/>
          <c:showPercent val="0"/>
          <c:showBubbleSize val="0"/>
        </c:dLbls>
        <c:gapWidth val="150"/>
        <c:axId val="1376582904"/>
        <c:axId val="538456485"/>
      </c:barChart>
      <c:catAx>
        <c:axId val="1376582904"/>
        <c:scaling>
          <c:orientation val="minMax"/>
        </c:scaling>
        <c:delete val="0"/>
        <c:axPos val="b"/>
        <c:title>
          <c:layout/>
          <c:overlay val="0"/>
          <c:tx>
            <c:rich>
              <a:bodyPr/>
              <a:lstStyle/>
              <a:p>
                <a:pPr>
                  <a:defRPr/>
                </a:pPr>
              </a:p>
            </c:rich>
          </c:tx>
        </c:title>
        <c:numFmt formatCode="General" sourceLinked="1"/>
        <c:majorTickMark val="none"/>
        <c:minorTickMark val="none"/>
        <c:tickLblPos val="nextTo"/>
        <c:txPr>
          <a:bodyPr rot="-60000000" spcFirstLastPara="0" vertOverflow="ellipsis" vert="horz" wrap="square" anchor="ctr" anchorCtr="1"/>
          <a:lstStyle/>
          <a:p>
            <a:pPr>
              <a:defRPr lang="zh-CN" sz="1000" b="0" i="0" u="none" strike="noStrike" kern="1200" baseline="0">
                <a:solidFill>
                  <a:srgbClr val="000000"/>
                </a:solidFill>
                <a:latin typeface="+mn-lt"/>
                <a:ea typeface="+mn-ea"/>
                <a:cs typeface="+mn-cs"/>
              </a:defRPr>
            </a:pPr>
          </a:p>
        </c:txPr>
        <c:crossAx val="538456485"/>
        <c:crosses val="autoZero"/>
        <c:auto val="1"/>
        <c:lblAlgn val="ctr"/>
        <c:lblOffset val="100"/>
        <c:noMultiLvlLbl val="1"/>
      </c:catAx>
      <c:valAx>
        <c:axId val="538456485"/>
        <c:scaling>
          <c:orientation val="minMax"/>
        </c:scaling>
        <c:delete val="0"/>
        <c:axPos val="l"/>
        <c:numFmt formatCode="0.00%" sourceLinked="1"/>
        <c:majorTickMark val="cross"/>
        <c:minorTickMark val="cross"/>
        <c:tickLblPos val="nextTo"/>
        <c:spPr>
          <a:ln w="6350" cap="flat" cmpd="sng" algn="ctr">
            <a:noFill/>
            <a:prstDash val="solid"/>
            <a:round/>
          </a:ln>
        </c:spPr>
        <c:txPr>
          <a:bodyPr rot="-60000000" spcFirstLastPara="0" vertOverflow="ellipsis" vert="horz" wrap="square" anchor="ctr" anchorCtr="1"/>
          <a:lstStyle/>
          <a:p>
            <a:pPr>
              <a:defRPr lang="zh-CN" sz="1000" b="0" i="0" u="none" strike="noStrike" kern="1200" baseline="0">
                <a:solidFill>
                  <a:schemeClr val="tx1"/>
                </a:solidFill>
                <a:latin typeface="+mn-lt"/>
                <a:ea typeface="+mn-ea"/>
                <a:cs typeface="+mn-cs"/>
              </a:defRPr>
            </a:pPr>
          </a:p>
        </c:txPr>
        <c:crossAx val="1376582904"/>
        <c:crosses val="autoZero"/>
        <c:crossBetween val="between"/>
      </c:valAx>
    </c:plotArea>
    <c:legend>
      <c:legendPos val="r"/>
      <c:layout/>
      <c:overlay val="0"/>
      <c:txPr>
        <a:bodyPr rot="0" spcFirstLastPara="0" vertOverflow="ellipsis" vert="horz" wrap="square" anchor="ctr" anchorCtr="1"/>
        <a:lstStyle/>
        <a:p>
          <a:pPr>
            <a:defRPr lang="zh-CN" sz="1000" b="0" i="0" u="none" strike="noStrike" kern="1200" baseline="0">
              <a:solidFill>
                <a:srgbClr val="1A1A1A"/>
              </a:solidFill>
              <a:latin typeface="+mn-lt"/>
              <a:ea typeface="+mn-ea"/>
              <a:cs typeface="+mn-cs"/>
            </a:defRPr>
          </a:pPr>
        </a:p>
      </c:txPr>
    </c:legend>
    <c:plotVisOnly val="1"/>
    <c:dispBlanksAs val="zero"/>
    <c:showDLblsOverMax val="1"/>
    <c:extLst>
      <c:ext uri="{0b15fc19-7d7d-44ad-8c2d-2c3a37ce22c3}">
        <chartProps xmlns="https://web.wps.cn/et/2018/main" chartId="{4accdfad-4f19-401b-84f8-f9126baf9b06}"/>
      </c:ext>
    </c:extLst>
  </c:chart>
  <c:txPr>
    <a:bodyPr/>
    <a:lstStyle/>
    <a:p>
      <a:pPr>
        <a:defRPr lang="zh-CN"/>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10</xdr:col>
      <xdr:colOff>0</xdr:colOff>
      <xdr:row>0</xdr:row>
      <xdr:rowOff>180975</xdr:rowOff>
    </xdr:from>
    <xdr:ext cx="6743700" cy="4171950"/>
    <xdr:graphicFrame>
      <xdr:nvGraphicFramePr>
        <xdr:cNvPr id="2" name="Chart 1" title="Chart"/>
        <xdr:cNvGraphicFramePr/>
      </xdr:nvGraphicFramePr>
      <xdr:xfrm>
        <a:off x="9004935" y="180975"/>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12</xdr:col>
      <xdr:colOff>361950</xdr:colOff>
      <xdr:row>7</xdr:row>
      <xdr:rowOff>95250</xdr:rowOff>
    </xdr:from>
    <xdr:ext cx="3086100" cy="638175"/>
    <xdr:sp>
      <xdr:nvSpPr>
        <xdr:cNvPr id="3" name="Shape 3"/>
        <xdr:cNvSpPr txBox="1"/>
      </xdr:nvSpPr>
      <xdr:spPr>
        <a:xfrm>
          <a:off x="11091545" y="1495425"/>
          <a:ext cx="3086100" cy="63817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“Days of use” changes by x %</a:t>
          </a:r>
          <a:endParaRPr sz="1400"/>
        </a:p>
      </xdr:txBody>
    </xdr:sp>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0</xdr:col>
      <xdr:colOff>657225</xdr:colOff>
      <xdr:row>2</xdr:row>
      <xdr:rowOff>171450</xdr:rowOff>
    </xdr:from>
    <xdr:ext cx="6743700" cy="4171950"/>
    <xdr:graphicFrame>
      <xdr:nvGraphicFramePr>
        <xdr:cNvPr id="2" name="Chart 2" title="Chart"/>
        <xdr:cNvGraphicFramePr/>
      </xdr:nvGraphicFramePr>
      <xdr:xfrm>
        <a:off x="657225" y="571500"/>
        <a:ext cx="6743700" cy="417195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561975</xdr:colOff>
      <xdr:row>9</xdr:row>
      <xdr:rowOff>47625</xdr:rowOff>
    </xdr:from>
    <xdr:ext cx="3371850" cy="847725"/>
    <xdr:sp>
      <xdr:nvSpPr>
        <xdr:cNvPr id="4" name="Shape 4"/>
        <xdr:cNvSpPr txBox="1"/>
      </xdr:nvSpPr>
      <xdr:spPr>
        <a:xfrm>
          <a:off x="3148965" y="1847850"/>
          <a:ext cx="3371850" cy="847725"/>
        </a:xfrm>
        <a:prstGeom prst="rect">
          <a:avLst/>
        </a:prstGeom>
        <a:noFill/>
        <a:ln>
          <a:noFill/>
        </a:ln>
      </xdr:spPr>
      <xdr:txBody>
        <a:bodyPr spcFirstLastPara="1" wrap="square" lIns="91425" tIns="91425" rIns="91425" bIns="91425" anchor="t" anchorCtr="0">
          <a:spAutoFit/>
        </a:bodyPr>
        <a:lstStyle/>
        <a:p>
          <a:pPr marL="0" lvl="0" indent="0" algn="l" rtl="0">
            <a:spcBef>
              <a:spcPts val="0"/>
            </a:spcBef>
            <a:spcAft>
              <a:spcPts val="0"/>
            </a:spcAft>
            <a:buNone/>
          </a:pPr>
          <a:r>
            <a:rPr lang="en-US" sz="1400"/>
            <a:t>If component changes by 10%</a:t>
          </a:r>
          <a:endParaRPr sz="1400"/>
        </a:p>
        <a:p>
          <a:pPr marL="0" lvl="0" indent="0" algn="l" rtl="0">
            <a:spcBef>
              <a:spcPts val="0"/>
            </a:spcBef>
            <a:spcAft>
              <a:spcPts val="0"/>
            </a:spcAft>
            <a:buNone/>
          </a:pPr>
          <a:r>
            <a:rPr lang="en-US" sz="1400"/>
            <a:t>… “hours” of use changes by x%</a:t>
          </a:r>
          <a:endParaRPr sz="1400"/>
        </a:p>
        <a:p>
          <a:pPr marL="0" lvl="0" indent="0" algn="l" rtl="0">
            <a:spcBef>
              <a:spcPts val="0"/>
            </a:spcBef>
            <a:spcAft>
              <a:spcPts val="0"/>
            </a:spcAft>
            <a:buNone/>
          </a:pP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Q39"/>
  <sheetViews>
    <sheetView tabSelected="1" workbookViewId="0">
      <selection activeCell="D28" sqref="D28"/>
    </sheetView>
  </sheetViews>
  <sheetFormatPr defaultColWidth="12.5740740740741" defaultRowHeight="15.75" customHeight="1"/>
  <cols>
    <col min="1" max="1" width="18" customWidth="1"/>
    <col min="5" max="5" width="12.712962962963" customWidth="1"/>
  </cols>
  <sheetData>
    <row r="1" customHeight="1" spans="1:9">
      <c r="A1" t="s">
        <v>0</v>
      </c>
    </row>
    <row r="2" customHeight="1" spans="1:9">
      <c r="A2" s="5"/>
      <c r="B2" s="6"/>
      <c r="C2" s="6"/>
      <c r="D2" s="6"/>
      <c r="E2" s="6"/>
      <c r="F2" s="6"/>
      <c r="G2" s="6"/>
      <c r="H2" s="6"/>
      <c r="I2" s="7"/>
    </row>
    <row r="3" customHeight="1" spans="1:9">
      <c r="A3" s="8" t="s">
        <v>1</v>
      </c>
      <c r="E3" s="9" t="s">
        <v>2</v>
      </c>
      <c r="I3" s="10"/>
    </row>
    <row r="4" customHeight="1" spans="1:9">
      <c r="A4" s="11"/>
      <c r="B4" s="12" t="s">
        <v>3</v>
      </c>
      <c r="I4" s="10"/>
    </row>
    <row r="5" customHeight="1" spans="1:9">
      <c r="A5" s="11"/>
      <c r="D5" t="s">
        <v>4</v>
      </c>
      <c r="E5" s="1" t="s">
        <v>5</v>
      </c>
      <c r="F5" s="1" t="s">
        <v>6</v>
      </c>
      <c r="G5" s="1" t="s">
        <v>7</v>
      </c>
      <c r="I5" s="10"/>
    </row>
    <row r="6" customHeight="1" spans="1:9">
      <c r="A6" s="8" t="s">
        <v>8</v>
      </c>
      <c r="D6" t="s">
        <v>9</v>
      </c>
      <c r="I6" s="10"/>
    </row>
    <row r="7" customHeight="1" spans="1:9">
      <c r="A7" s="11" t="s">
        <v>10</v>
      </c>
      <c r="B7" s="13">
        <v>84.81</v>
      </c>
      <c r="C7" s="1" t="s">
        <v>11</v>
      </c>
      <c r="E7" s="14">
        <v>0</v>
      </c>
      <c r="F7" s="15">
        <v>0.2</v>
      </c>
      <c r="G7" s="14">
        <v>0.5</v>
      </c>
      <c r="I7" s="10"/>
    </row>
    <row r="8" customHeight="1" spans="1:9">
      <c r="A8" s="11" t="s">
        <v>12</v>
      </c>
      <c r="B8" s="16">
        <v>33</v>
      </c>
      <c r="C8" s="1" t="s">
        <v>11</v>
      </c>
      <c r="E8" s="14">
        <v>0</v>
      </c>
      <c r="F8" s="15">
        <v>0.1</v>
      </c>
      <c r="G8" s="14">
        <v>0.5</v>
      </c>
      <c r="I8" s="10"/>
    </row>
    <row r="9" customHeight="1" spans="1:9">
      <c r="A9" s="11" t="s">
        <v>13</v>
      </c>
      <c r="B9" s="16">
        <v>0.145</v>
      </c>
      <c r="C9" s="1" t="s">
        <v>11</v>
      </c>
      <c r="E9" s="14">
        <v>1</v>
      </c>
      <c r="F9" s="14">
        <v>0.7</v>
      </c>
      <c r="G9" s="14">
        <v>0</v>
      </c>
      <c r="I9" s="10"/>
    </row>
    <row r="10" customHeight="1" spans="1:9">
      <c r="A10" s="11"/>
      <c r="I10" s="10"/>
    </row>
    <row r="11" customHeight="1" spans="1:9">
      <c r="A11" s="8" t="s">
        <v>14</v>
      </c>
      <c r="I11" s="10"/>
    </row>
    <row r="12" customHeight="1" spans="1:9">
      <c r="A12" s="11" t="s">
        <v>15</v>
      </c>
      <c r="B12" s="16">
        <v>6.6</v>
      </c>
      <c r="C12" s="1" t="s">
        <v>11</v>
      </c>
      <c r="E12" s="14">
        <v>0</v>
      </c>
      <c r="F12" s="14">
        <v>0.05</v>
      </c>
      <c r="G12" s="14">
        <v>0.3</v>
      </c>
      <c r="I12" s="10"/>
    </row>
    <row r="13" customHeight="1" spans="1:9">
      <c r="A13" s="11"/>
      <c r="B13" s="2"/>
      <c r="I13" s="10"/>
    </row>
    <row r="14" customHeight="1" spans="1:9">
      <c r="A14" s="11"/>
      <c r="B14" s="2"/>
      <c r="I14" s="10"/>
    </row>
    <row r="15" customHeight="1" spans="1:9">
      <c r="A15" s="8" t="s">
        <v>16</v>
      </c>
      <c r="B15" s="2"/>
      <c r="D15" t="s">
        <v>17</v>
      </c>
      <c r="I15" s="10"/>
    </row>
    <row r="16" customHeight="1" spans="1:9">
      <c r="A16" s="11" t="s">
        <v>15</v>
      </c>
      <c r="B16" s="16">
        <v>16.9</v>
      </c>
      <c r="C16" s="1" t="s">
        <v>11</v>
      </c>
      <c r="D16" t="s">
        <v>18</v>
      </c>
      <c r="E16" s="14">
        <v>0</v>
      </c>
      <c r="F16" s="14">
        <v>0.2</v>
      </c>
      <c r="G16" s="14">
        <v>0.3</v>
      </c>
      <c r="I16" s="10"/>
    </row>
    <row r="17" customHeight="1" spans="1:17">
      <c r="A17" s="11" t="s">
        <v>12</v>
      </c>
      <c r="B17" s="16">
        <v>16.5</v>
      </c>
      <c r="C17" s="1" t="s">
        <v>11</v>
      </c>
      <c r="D17" t="s">
        <v>19</v>
      </c>
      <c r="E17" s="14">
        <v>1</v>
      </c>
      <c r="F17" s="14">
        <v>0.8</v>
      </c>
      <c r="G17" s="14">
        <v>0.7</v>
      </c>
      <c r="I17" s="10"/>
    </row>
    <row r="18" customHeight="1" spans="1:17">
      <c r="A18" s="11" t="s">
        <v>20</v>
      </c>
      <c r="B18" s="16">
        <v>0</v>
      </c>
      <c r="C18" s="1" t="s">
        <v>11</v>
      </c>
      <c r="E18" s="14">
        <v>0</v>
      </c>
      <c r="F18" s="14">
        <v>0</v>
      </c>
      <c r="G18" s="14">
        <v>0</v>
      </c>
      <c r="I18" s="10"/>
    </row>
    <row r="19" customHeight="1" spans="1:17">
      <c r="A19" s="11"/>
      <c r="B19" s="2"/>
      <c r="I19" s="10"/>
    </row>
    <row r="20" customHeight="1" spans="1:17">
      <c r="A20" s="8" t="s">
        <v>21</v>
      </c>
      <c r="B20" s="2"/>
      <c r="I20" s="10"/>
    </row>
    <row r="21" customHeight="1" spans="1:17">
      <c r="A21" s="11" t="s">
        <v>15</v>
      </c>
      <c r="B21" s="16">
        <v>0</v>
      </c>
      <c r="C21" s="1" t="s">
        <v>11</v>
      </c>
      <c r="E21" s="14">
        <v>0</v>
      </c>
      <c r="F21" s="14">
        <v>0</v>
      </c>
      <c r="G21" s="14">
        <v>0</v>
      </c>
      <c r="I21" s="10"/>
    </row>
    <row r="22" customHeight="1" spans="1:17">
      <c r="A22" s="11" t="s">
        <v>22</v>
      </c>
      <c r="B22" s="16">
        <v>0</v>
      </c>
      <c r="C22" s="1" t="s">
        <v>11</v>
      </c>
      <c r="E22" s="14">
        <v>0</v>
      </c>
      <c r="F22" s="14">
        <v>0</v>
      </c>
      <c r="G22" s="14">
        <v>0</v>
      </c>
      <c r="I22" s="10"/>
    </row>
    <row r="23" customHeight="1" spans="1:17">
      <c r="A23" s="11"/>
      <c r="I23" s="10"/>
    </row>
    <row r="24" customHeight="1" spans="1:17">
      <c r="A24" s="8" t="s">
        <v>23</v>
      </c>
      <c r="D24" t="s">
        <v>9</v>
      </c>
      <c r="I24" s="10"/>
      <c r="K24" s="5"/>
      <c r="L24" s="6"/>
      <c r="M24" s="6"/>
      <c r="N24" s="6"/>
      <c r="O24" s="6"/>
      <c r="P24" s="6"/>
      <c r="Q24" s="7"/>
    </row>
    <row r="25" customHeight="1" spans="1:17">
      <c r="A25" s="11" t="s">
        <v>24</v>
      </c>
      <c r="B25" s="17">
        <v>300</v>
      </c>
      <c r="C25" s="1" t="s">
        <v>25</v>
      </c>
      <c r="E25" s="14">
        <v>0</v>
      </c>
      <c r="F25" s="14">
        <v>0</v>
      </c>
      <c r="G25" s="14">
        <v>0</v>
      </c>
      <c r="I25" s="10"/>
      <c r="K25" s="11"/>
      <c r="L25" s="18" t="s">
        <v>26</v>
      </c>
      <c r="M25" s="18"/>
      <c r="N25" s="18"/>
      <c r="O25" s="18" t="s">
        <v>27</v>
      </c>
      <c r="P25" s="18"/>
      <c r="Q25" s="10"/>
    </row>
    <row r="26" customHeight="1" spans="1:17">
      <c r="A26" s="11" t="s">
        <v>28</v>
      </c>
      <c r="B26" s="16">
        <v>5.00002</v>
      </c>
      <c r="C26" s="1" t="s">
        <v>11</v>
      </c>
      <c r="E26" s="14">
        <v>0</v>
      </c>
      <c r="F26" s="14">
        <v>0.95</v>
      </c>
      <c r="G26" s="14">
        <v>0.7</v>
      </c>
      <c r="I26" s="10"/>
      <c r="K26" s="11"/>
      <c r="L26" s="18" t="str">
        <f>E5</f>
        <v>"off"</v>
      </c>
      <c r="M26" s="18">
        <f>SUMPRODUCT(B7:B28,E7:E28)</f>
        <v>16.645</v>
      </c>
      <c r="N26" s="18" t="s">
        <v>11</v>
      </c>
      <c r="O26" s="19">
        <f t="shared" ref="O26:O28" si="0">$M$31/M26</f>
        <v>94.1724241513968</v>
      </c>
      <c r="P26" s="18" t="s">
        <v>29</v>
      </c>
      <c r="Q26" s="10"/>
    </row>
    <row r="27" customHeight="1" spans="1:17">
      <c r="A27" s="11" t="s">
        <v>30</v>
      </c>
      <c r="B27" s="16">
        <v>20</v>
      </c>
      <c r="C27" s="1" t="s">
        <v>11</v>
      </c>
      <c r="E27" s="14">
        <v>0</v>
      </c>
      <c r="F27" s="14">
        <v>0.03</v>
      </c>
      <c r="G27" s="14">
        <v>0.2</v>
      </c>
      <c r="I27" s="10"/>
      <c r="K27" s="11"/>
      <c r="L27" s="18" t="str">
        <f>F5</f>
        <v>"sensing"</v>
      </c>
      <c r="M27" s="18">
        <f>SUMPRODUCT(B7:B28,F7:F28)</f>
        <v>42.823519</v>
      </c>
      <c r="N27" s="18" t="s">
        <v>11</v>
      </c>
      <c r="O27" s="19">
        <f t="shared" si="0"/>
        <v>36.6037176907391</v>
      </c>
      <c r="P27" s="18" t="s">
        <v>29</v>
      </c>
      <c r="Q27" s="10"/>
    </row>
    <row r="28" customHeight="1" spans="1:17">
      <c r="A28" s="11" t="s">
        <v>31</v>
      </c>
      <c r="B28" s="16">
        <v>10</v>
      </c>
      <c r="C28" s="1" t="s">
        <v>11</v>
      </c>
      <c r="E28" s="14">
        <v>0</v>
      </c>
      <c r="F28" s="14">
        <v>0.02</v>
      </c>
      <c r="G28" s="14">
        <v>0.1</v>
      </c>
      <c r="I28" s="10"/>
      <c r="K28" s="11"/>
      <c r="L28" s="18" t="str">
        <f>G5</f>
        <v>"interactive"</v>
      </c>
      <c r="M28" s="18">
        <f>SUMPRODUCT(B7:B28,G7:G28)</f>
        <v>86.005014</v>
      </c>
      <c r="N28" s="18" t="s">
        <v>11</v>
      </c>
      <c r="O28" s="19">
        <f t="shared" si="0"/>
        <v>18.2256815864247</v>
      </c>
      <c r="P28" s="18" t="s">
        <v>29</v>
      </c>
      <c r="Q28" s="10"/>
    </row>
    <row r="29" customHeight="1" spans="1:17">
      <c r="A29" s="11"/>
      <c r="I29" s="10"/>
      <c r="K29" s="11"/>
      <c r="Q29" s="10"/>
    </row>
    <row r="30" customHeight="1" spans="1:17">
      <c r="A30" s="8"/>
      <c r="E30" s="17">
        <v>22</v>
      </c>
      <c r="F30" s="17">
        <v>1.5</v>
      </c>
      <c r="G30" s="17">
        <v>0.5</v>
      </c>
      <c r="H30" s="1" t="s">
        <v>32</v>
      </c>
      <c r="I30" s="10"/>
      <c r="K30" s="11"/>
      <c r="L30" s="1" t="s">
        <v>33</v>
      </c>
      <c r="Q30" s="10"/>
    </row>
    <row r="31" customHeight="1" spans="1:17">
      <c r="A31" s="8" t="s">
        <v>34</v>
      </c>
      <c r="I31" s="10"/>
      <c r="K31" s="11"/>
      <c r="M31" s="1">
        <f>B32*B33*B34</f>
        <v>1567.5</v>
      </c>
      <c r="N31" s="1" t="s">
        <v>35</v>
      </c>
      <c r="Q31" s="10"/>
    </row>
    <row r="32" customHeight="1" spans="1:17">
      <c r="A32" s="11" t="s">
        <v>36</v>
      </c>
      <c r="B32" s="16">
        <v>500</v>
      </c>
      <c r="C32" s="1" t="s">
        <v>37</v>
      </c>
      <c r="I32" s="10"/>
      <c r="K32" s="11"/>
      <c r="Q32" s="10"/>
    </row>
    <row r="33" customHeight="1" spans="1:17">
      <c r="A33" s="11" t="s">
        <v>38</v>
      </c>
      <c r="B33" s="16">
        <v>3.3</v>
      </c>
      <c r="C33" s="1" t="s">
        <v>39</v>
      </c>
      <c r="I33" s="10"/>
      <c r="K33" s="11"/>
      <c r="L33" s="20" t="s">
        <v>40</v>
      </c>
      <c r="M33" s="21">
        <f>M31/(E30*M26+F30*M27+G30*M28)</f>
        <v>3.31095902692851</v>
      </c>
      <c r="N33" s="20" t="s">
        <v>41</v>
      </c>
      <c r="Q33" s="10"/>
    </row>
    <row r="34" customHeight="1" spans="1:17">
      <c r="A34" s="11" t="s">
        <v>42</v>
      </c>
      <c r="B34" s="14">
        <v>0.95</v>
      </c>
      <c r="I34" s="10"/>
      <c r="K34" s="11"/>
      <c r="L34" s="20" t="s">
        <v>43</v>
      </c>
      <c r="M34" s="21">
        <f>M33*24</f>
        <v>79.4630166462843</v>
      </c>
      <c r="N34" s="20" t="s">
        <v>29</v>
      </c>
      <c r="Q34" s="10"/>
    </row>
    <row r="35" customHeight="1" spans="1:17">
      <c r="A35" s="22"/>
      <c r="B35" s="23"/>
      <c r="C35" s="23"/>
      <c r="D35" s="23"/>
      <c r="E35" s="23"/>
      <c r="F35" s="23"/>
      <c r="G35" s="23"/>
      <c r="H35" s="23"/>
      <c r="I35" s="24"/>
      <c r="K35" s="22"/>
      <c r="L35" s="23"/>
      <c r="M35" s="23"/>
      <c r="N35" s="23"/>
      <c r="O35" s="23"/>
      <c r="P35" s="23"/>
      <c r="Q35" s="24"/>
    </row>
    <row r="36" customHeight="1" spans="1:17">
      <c r="A36" s="25" t="s">
        <v>44</v>
      </c>
    </row>
    <row r="38" customHeight="1" spans="1:17">
      <c r="A38" s="9" t="s">
        <v>45</v>
      </c>
    </row>
    <row r="39" customHeight="1" spans="1:17">
      <c r="A39" s="25" t="s">
        <v>46</v>
      </c>
    </row>
  </sheetData>
  <pageMargins left="0" right="0" top="0" bottom="0" header="0" footer="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50:W118"/>
  <sheetViews>
    <sheetView workbookViewId="0">
      <selection activeCell="A1" sqref="A1"/>
    </sheetView>
  </sheetViews>
  <sheetFormatPr defaultColWidth="12.5740740740741" defaultRowHeight="15.75" customHeight="1"/>
  <sheetData>
    <row r="50" customHeight="1" spans="1:23">
      <c r="A50" s="1" t="s">
        <v>47</v>
      </c>
    </row>
    <row r="52" customHeight="1" spans="1:23">
      <c r="A52" s="1" t="str">
        <f>'System Parameters'!A3</f>
        <v>System Parameters (defined by hardware)</v>
      </c>
      <c r="B52" s="1">
        <f>'System Parameters'!B3</f>
        <v>0</v>
      </c>
      <c r="C52" s="1">
        <f>'System Parameters'!C3</f>
        <v>0</v>
      </c>
      <c r="D52" s="1">
        <f>'System Parameters'!D3</f>
        <v>0</v>
      </c>
      <c r="T52" s="1" t="str">
        <f>'System Parameters'!E3</f>
        <v>Profiles (usage of each component mode - defined by software and usage)</v>
      </c>
      <c r="U52" s="1">
        <f>'System Parameters'!F3</f>
        <v>0</v>
      </c>
      <c r="V52" s="1">
        <f>'System Parameters'!G3</f>
        <v>0</v>
      </c>
      <c r="W52" s="1">
        <f>'System Parameters'!H3</f>
        <v>0</v>
      </c>
    </row>
    <row r="53" customHeight="1" spans="1:23">
      <c r="A53" s="1">
        <f>'System Parameters'!A4</f>
        <v>0</v>
      </c>
      <c r="B53" s="1" t="str">
        <f>'System Parameters'!B4</f>
        <v>form the datasheets</v>
      </c>
      <c r="C53" s="1">
        <f>'System Parameters'!C4</f>
        <v>0</v>
      </c>
      <c r="D53" s="1">
        <f>'System Parameters'!D4</f>
        <v>0</v>
      </c>
      <c r="T53" s="1">
        <f>'System Parameters'!E4</f>
        <v>0</v>
      </c>
      <c r="U53" s="1">
        <f>'System Parameters'!F4</f>
        <v>0</v>
      </c>
      <c r="V53" s="1">
        <f>'System Parameters'!G4</f>
        <v>0</v>
      </c>
      <c r="W53" s="1">
        <f>'System Parameters'!H4</f>
        <v>0</v>
      </c>
    </row>
    <row r="54" customHeight="1" spans="1:23">
      <c r="A54" s="1">
        <f>'System Parameters'!A5</f>
        <v>0</v>
      </c>
      <c r="B54" s="1">
        <f>'System Parameters'!B5</f>
        <v>0</v>
      </c>
      <c r="C54" s="1">
        <f>'System Parameters'!C5</f>
        <v>0</v>
      </c>
      <c r="D54" s="1" t="str">
        <f>'System Parameters'!D5</f>
        <v>datasheet</v>
      </c>
      <c r="T54" s="1" t="str">
        <f>'System Parameters'!E5</f>
        <v>"off"</v>
      </c>
      <c r="U54" s="1" t="str">
        <f>'System Parameters'!F5</f>
        <v>"sensing"</v>
      </c>
      <c r="V54" s="1" t="str">
        <f>'System Parameters'!G5</f>
        <v>"interactive"</v>
      </c>
      <c r="W54" s="1">
        <f>'System Parameters'!H5</f>
        <v>0</v>
      </c>
    </row>
    <row r="55" customHeight="1" spans="1:23">
      <c r="A55" s="1" t="str">
        <f>'System Parameters'!A6</f>
        <v>Processor</v>
      </c>
      <c r="B55" s="1">
        <f>'System Parameters'!B6</f>
        <v>0</v>
      </c>
      <c r="C55" s="1">
        <f>'System Parameters'!C6</f>
        <v>0</v>
      </c>
      <c r="D55" s="1" t="str">
        <f>'System Parameters'!D6</f>
        <v>https://github.com/Sienna-Zhang/514_final/blob/main/514_final/datasheets/ESP32.pdf</v>
      </c>
      <c r="T55" s="1">
        <f>'System Parameters'!E6</f>
        <v>0</v>
      </c>
      <c r="U55" s="1">
        <f>'System Parameters'!F6</f>
        <v>0</v>
      </c>
      <c r="V55" s="1">
        <f>'System Parameters'!G6</f>
        <v>0</v>
      </c>
      <c r="W55" s="1">
        <f>'System Parameters'!H6</f>
        <v>0</v>
      </c>
    </row>
    <row r="56" customHeight="1" spans="1:23">
      <c r="A56" s="1" t="str">
        <f>'System Parameters'!A7</f>
        <v>Active</v>
      </c>
      <c r="B56" s="2">
        <f>'System Parameters'!B7</f>
        <v>84.81</v>
      </c>
      <c r="C56" s="1" t="str">
        <f>'System Parameters'!C7</f>
        <v>mW</v>
      </c>
      <c r="D56" s="1">
        <f>$B56*0.9</f>
        <v>76.329</v>
      </c>
      <c r="E56" s="2">
        <f t="shared" ref="E56:O56" si="0">$B56</f>
        <v>84.81</v>
      </c>
      <c r="F56" s="2">
        <f t="shared" si="0"/>
        <v>84.81</v>
      </c>
      <c r="G56" s="2">
        <f t="shared" si="0"/>
        <v>84.81</v>
      </c>
      <c r="H56" s="2">
        <f t="shared" si="0"/>
        <v>84.81</v>
      </c>
      <c r="I56" s="2">
        <f t="shared" si="0"/>
        <v>84.81</v>
      </c>
      <c r="J56" s="2">
        <f t="shared" si="0"/>
        <v>84.81</v>
      </c>
      <c r="K56" s="2">
        <f t="shared" si="0"/>
        <v>84.81</v>
      </c>
      <c r="L56" s="2">
        <f t="shared" si="0"/>
        <v>84.81</v>
      </c>
      <c r="M56" s="2">
        <f t="shared" si="0"/>
        <v>84.81</v>
      </c>
      <c r="N56" s="2">
        <f t="shared" si="0"/>
        <v>84.81</v>
      </c>
      <c r="O56" s="2">
        <f t="shared" si="0"/>
        <v>84.81</v>
      </c>
      <c r="T56" s="3">
        <f>'System Parameters'!E7</f>
        <v>0</v>
      </c>
      <c r="U56" s="3">
        <f>'System Parameters'!F7</f>
        <v>0.2</v>
      </c>
      <c r="V56" s="3">
        <f>'System Parameters'!G7</f>
        <v>0.5</v>
      </c>
      <c r="W56" s="1">
        <f>'System Parameters'!H7</f>
        <v>0</v>
      </c>
    </row>
    <row r="57" customHeight="1" spans="1:23">
      <c r="A57" s="1" t="str">
        <f>'System Parameters'!A8</f>
        <v>Idle</v>
      </c>
      <c r="B57" s="2">
        <f>'System Parameters'!B8</f>
        <v>33</v>
      </c>
      <c r="C57" s="1" t="str">
        <f>'System Parameters'!C8</f>
        <v>mW</v>
      </c>
      <c r="D57" s="2">
        <f t="shared" ref="D57:D76" si="1">$B57</f>
        <v>33</v>
      </c>
      <c r="E57" s="1">
        <f>$B57*0.9</f>
        <v>29.7</v>
      </c>
      <c r="F57" s="2">
        <f t="shared" ref="F57:O57" si="2">$B57</f>
        <v>33</v>
      </c>
      <c r="G57" s="2">
        <f t="shared" si="2"/>
        <v>33</v>
      </c>
      <c r="H57" s="2">
        <f t="shared" si="2"/>
        <v>33</v>
      </c>
      <c r="I57" s="2">
        <f t="shared" si="2"/>
        <v>33</v>
      </c>
      <c r="J57" s="2">
        <f t="shared" si="2"/>
        <v>33</v>
      </c>
      <c r="K57" s="2">
        <f t="shared" si="2"/>
        <v>33</v>
      </c>
      <c r="L57" s="2">
        <f t="shared" si="2"/>
        <v>33</v>
      </c>
      <c r="M57" s="2">
        <f t="shared" si="2"/>
        <v>33</v>
      </c>
      <c r="N57" s="2">
        <f t="shared" si="2"/>
        <v>33</v>
      </c>
      <c r="O57" s="2">
        <f t="shared" si="2"/>
        <v>33</v>
      </c>
      <c r="T57" s="3">
        <f>'System Parameters'!E8</f>
        <v>0</v>
      </c>
      <c r="U57" s="3">
        <f>'System Parameters'!F8</f>
        <v>0.1</v>
      </c>
      <c r="V57" s="3">
        <f>'System Parameters'!G8</f>
        <v>0.5</v>
      </c>
      <c r="W57" s="1">
        <f>'System Parameters'!H8</f>
        <v>0</v>
      </c>
    </row>
    <row r="58" customHeight="1" spans="1:23">
      <c r="A58" s="1" t="str">
        <f>'System Parameters'!A9</f>
        <v>Sleep</v>
      </c>
      <c r="B58" s="2">
        <f>'System Parameters'!B9</f>
        <v>0.145</v>
      </c>
      <c r="C58" s="1" t="str">
        <f>'System Parameters'!C9</f>
        <v>mW</v>
      </c>
      <c r="D58" s="2">
        <f t="shared" si="1"/>
        <v>0.145</v>
      </c>
      <c r="E58" s="2">
        <f t="shared" ref="E58:E76" si="3">$B58</f>
        <v>0.145</v>
      </c>
      <c r="F58" s="1">
        <f>$B58*0.9</f>
        <v>0.1305</v>
      </c>
      <c r="G58" s="2">
        <f t="shared" ref="G58:O58" si="4">$B58</f>
        <v>0.145</v>
      </c>
      <c r="H58" s="2">
        <f t="shared" si="4"/>
        <v>0.145</v>
      </c>
      <c r="I58" s="2">
        <f t="shared" si="4"/>
        <v>0.145</v>
      </c>
      <c r="J58" s="2">
        <f t="shared" si="4"/>
        <v>0.145</v>
      </c>
      <c r="K58" s="2">
        <f t="shared" si="4"/>
        <v>0.145</v>
      </c>
      <c r="L58" s="2">
        <f t="shared" si="4"/>
        <v>0.145</v>
      </c>
      <c r="M58" s="2">
        <f t="shared" si="4"/>
        <v>0.145</v>
      </c>
      <c r="N58" s="2">
        <f t="shared" si="4"/>
        <v>0.145</v>
      </c>
      <c r="O58" s="2">
        <f t="shared" si="4"/>
        <v>0.145</v>
      </c>
      <c r="T58" s="3">
        <f>'System Parameters'!E9</f>
        <v>1</v>
      </c>
      <c r="U58" s="3">
        <f>'System Parameters'!F9</f>
        <v>0.7</v>
      </c>
      <c r="V58" s="3">
        <f>'System Parameters'!G9</f>
        <v>0</v>
      </c>
      <c r="W58" s="1">
        <f>'System Parameters'!H9</f>
        <v>0</v>
      </c>
    </row>
    <row r="59" customHeight="1" spans="1:23">
      <c r="A59" s="1">
        <f>'System Parameters'!A10</f>
        <v>0</v>
      </c>
      <c r="B59" s="1">
        <f>'System Parameters'!B10</f>
        <v>0</v>
      </c>
      <c r="C59" s="1">
        <f>'System Parameters'!C10</f>
        <v>0</v>
      </c>
      <c r="D59" s="1">
        <f t="shared" si="1"/>
        <v>0</v>
      </c>
      <c r="E59" s="1">
        <f t="shared" si="3"/>
        <v>0</v>
      </c>
      <c r="F59" s="1">
        <f t="shared" ref="F59:O59" si="5">$B59</f>
        <v>0</v>
      </c>
      <c r="G59" s="1">
        <f t="shared" si="5"/>
        <v>0</v>
      </c>
      <c r="H59" s="1">
        <f t="shared" si="5"/>
        <v>0</v>
      </c>
      <c r="I59" s="1">
        <f t="shared" si="5"/>
        <v>0</v>
      </c>
      <c r="J59" s="1">
        <f t="shared" si="5"/>
        <v>0</v>
      </c>
      <c r="K59" s="1">
        <f t="shared" si="5"/>
        <v>0</v>
      </c>
      <c r="L59" s="1">
        <f t="shared" si="5"/>
        <v>0</v>
      </c>
      <c r="M59" s="1">
        <f t="shared" si="5"/>
        <v>0</v>
      </c>
      <c r="N59" s="1">
        <f t="shared" si="5"/>
        <v>0</v>
      </c>
      <c r="O59" s="1">
        <f t="shared" si="5"/>
        <v>0</v>
      </c>
      <c r="T59" s="1">
        <f>'System Parameters'!E10</f>
        <v>0</v>
      </c>
      <c r="U59" s="1">
        <f>'System Parameters'!F10</f>
        <v>0</v>
      </c>
      <c r="V59" s="1">
        <f>'System Parameters'!G10</f>
        <v>0</v>
      </c>
      <c r="W59" s="1">
        <f>'System Parameters'!H10</f>
        <v>0</v>
      </c>
    </row>
    <row r="60" customHeight="1" spans="1:23">
      <c r="A60" s="1" t="str">
        <f>'System Parameters'!A11</f>
        <v>LED</v>
      </c>
      <c r="B60" s="1">
        <f>'System Parameters'!B11</f>
        <v>0</v>
      </c>
      <c r="C60" s="1">
        <f>'System Parameters'!C11</f>
        <v>0</v>
      </c>
      <c r="D60" s="1">
        <f t="shared" si="1"/>
        <v>0</v>
      </c>
      <c r="E60" s="1">
        <f t="shared" si="3"/>
        <v>0</v>
      </c>
      <c r="F60" s="1">
        <f t="shared" ref="F60:O60" si="6">$B60</f>
        <v>0</v>
      </c>
      <c r="G60" s="1">
        <f t="shared" si="6"/>
        <v>0</v>
      </c>
      <c r="H60" s="1">
        <f t="shared" si="6"/>
        <v>0</v>
      </c>
      <c r="I60" s="1">
        <f t="shared" si="6"/>
        <v>0</v>
      </c>
      <c r="J60" s="1">
        <f t="shared" si="6"/>
        <v>0</v>
      </c>
      <c r="K60" s="1">
        <f t="shared" si="6"/>
        <v>0</v>
      </c>
      <c r="L60" s="1">
        <f t="shared" si="6"/>
        <v>0</v>
      </c>
      <c r="M60" s="1">
        <f t="shared" si="6"/>
        <v>0</v>
      </c>
      <c r="N60" s="1">
        <f t="shared" si="6"/>
        <v>0</v>
      </c>
      <c r="O60" s="1">
        <f t="shared" si="6"/>
        <v>0</v>
      </c>
      <c r="T60" s="1">
        <f>'System Parameters'!E11</f>
        <v>0</v>
      </c>
      <c r="U60" s="1">
        <f>'System Parameters'!F11</f>
        <v>0</v>
      </c>
      <c r="V60" s="1">
        <f>'System Parameters'!G11</f>
        <v>0</v>
      </c>
      <c r="W60" s="1">
        <f>'System Parameters'!H11</f>
        <v>0</v>
      </c>
    </row>
    <row r="61" customHeight="1" spans="1:23">
      <c r="A61" s="1" t="str">
        <f>'System Parameters'!A12</f>
        <v>On</v>
      </c>
      <c r="B61" s="2">
        <f>'System Parameters'!B12</f>
        <v>6.6</v>
      </c>
      <c r="C61" s="1" t="str">
        <f>'System Parameters'!C12</f>
        <v>mW</v>
      </c>
      <c r="D61" s="2">
        <f t="shared" si="1"/>
        <v>6.6</v>
      </c>
      <c r="E61" s="2">
        <f t="shared" si="3"/>
        <v>6.6</v>
      </c>
      <c r="F61" s="2">
        <f t="shared" ref="F61:F76" si="7">$B61</f>
        <v>6.6</v>
      </c>
      <c r="G61" s="1">
        <f>$B61*0.9</f>
        <v>5.94</v>
      </c>
      <c r="H61" s="2">
        <f t="shared" ref="H61:O61" si="8">$B61</f>
        <v>6.6</v>
      </c>
      <c r="I61" s="2">
        <f t="shared" si="8"/>
        <v>6.6</v>
      </c>
      <c r="J61" s="2">
        <f t="shared" si="8"/>
        <v>6.6</v>
      </c>
      <c r="K61" s="2">
        <f t="shared" si="8"/>
        <v>6.6</v>
      </c>
      <c r="L61" s="2">
        <f t="shared" si="8"/>
        <v>6.6</v>
      </c>
      <c r="M61" s="2">
        <f t="shared" si="8"/>
        <v>6.6</v>
      </c>
      <c r="N61" s="2">
        <f t="shared" si="8"/>
        <v>6.6</v>
      </c>
      <c r="O61" s="2">
        <f t="shared" si="8"/>
        <v>6.6</v>
      </c>
      <c r="T61" s="3">
        <f>'System Parameters'!E12</f>
        <v>0</v>
      </c>
      <c r="U61" s="3">
        <f>'System Parameters'!F12</f>
        <v>0.05</v>
      </c>
      <c r="V61" s="3">
        <f>'System Parameters'!G12</f>
        <v>0.3</v>
      </c>
      <c r="W61" s="1">
        <f>'System Parameters'!H12</f>
        <v>0</v>
      </c>
    </row>
    <row r="62" customHeight="1" spans="1:23">
      <c r="A62" s="1">
        <f>'System Parameters'!A13</f>
        <v>0</v>
      </c>
      <c r="B62" s="2">
        <f>'System Parameters'!B13</f>
        <v>0</v>
      </c>
      <c r="C62" s="1">
        <f>'System Parameters'!C13</f>
        <v>0</v>
      </c>
      <c r="D62" s="2">
        <f t="shared" si="1"/>
        <v>0</v>
      </c>
      <c r="E62" s="2">
        <f t="shared" si="3"/>
        <v>0</v>
      </c>
      <c r="F62" s="2">
        <f t="shared" si="7"/>
        <v>0</v>
      </c>
      <c r="G62" s="2">
        <f t="shared" ref="G62:O62" si="9">$B62</f>
        <v>0</v>
      </c>
      <c r="H62" s="2">
        <f t="shared" si="9"/>
        <v>0</v>
      </c>
      <c r="I62" s="2">
        <f t="shared" si="9"/>
        <v>0</v>
      </c>
      <c r="J62" s="2">
        <f t="shared" si="9"/>
        <v>0</v>
      </c>
      <c r="K62" s="2">
        <f t="shared" si="9"/>
        <v>0</v>
      </c>
      <c r="L62" s="2">
        <f t="shared" si="9"/>
        <v>0</v>
      </c>
      <c r="M62" s="2">
        <f t="shared" si="9"/>
        <v>0</v>
      </c>
      <c r="N62" s="2">
        <f t="shared" si="9"/>
        <v>0</v>
      </c>
      <c r="O62" s="2">
        <f t="shared" si="9"/>
        <v>0</v>
      </c>
      <c r="T62" s="1">
        <f>'System Parameters'!E13</f>
        <v>0</v>
      </c>
      <c r="U62" s="1">
        <f>'System Parameters'!F13</f>
        <v>0</v>
      </c>
      <c r="V62" s="1">
        <f>'System Parameters'!G13</f>
        <v>0</v>
      </c>
      <c r="W62" s="1">
        <f>'System Parameters'!H13</f>
        <v>0</v>
      </c>
    </row>
    <row r="63" customHeight="1" spans="1:23">
      <c r="A63" s="1">
        <f>'System Parameters'!A14</f>
        <v>0</v>
      </c>
      <c r="B63" s="2">
        <f>'System Parameters'!B14</f>
        <v>0</v>
      </c>
      <c r="C63" s="1">
        <f>'System Parameters'!C14</f>
        <v>0</v>
      </c>
      <c r="D63" s="2">
        <f t="shared" si="1"/>
        <v>0</v>
      </c>
      <c r="E63" s="2">
        <f t="shared" si="3"/>
        <v>0</v>
      </c>
      <c r="F63" s="2">
        <f t="shared" si="7"/>
        <v>0</v>
      </c>
      <c r="G63" s="2">
        <f t="shared" ref="G63:O63" si="10">$B63</f>
        <v>0</v>
      </c>
      <c r="H63" s="2">
        <f t="shared" si="10"/>
        <v>0</v>
      </c>
      <c r="I63" s="2">
        <f t="shared" si="10"/>
        <v>0</v>
      </c>
      <c r="J63" s="2">
        <f t="shared" si="10"/>
        <v>0</v>
      </c>
      <c r="K63" s="2">
        <f t="shared" si="10"/>
        <v>0</v>
      </c>
      <c r="L63" s="2">
        <f t="shared" si="10"/>
        <v>0</v>
      </c>
      <c r="M63" s="2">
        <f t="shared" si="10"/>
        <v>0</v>
      </c>
      <c r="N63" s="2">
        <f t="shared" si="10"/>
        <v>0</v>
      </c>
      <c r="O63" s="2">
        <f t="shared" si="10"/>
        <v>0</v>
      </c>
      <c r="T63" s="1">
        <f>'System Parameters'!E14</f>
        <v>0</v>
      </c>
      <c r="U63" s="1">
        <f>'System Parameters'!F14</f>
        <v>0</v>
      </c>
      <c r="V63" s="1">
        <f>'System Parameters'!G14</f>
        <v>0</v>
      </c>
      <c r="W63" s="1">
        <f>'System Parameters'!H14</f>
        <v>0</v>
      </c>
    </row>
    <row r="64" customHeight="1" spans="1:23">
      <c r="A64" s="1" t="str">
        <f>'System Parameters'!A15</f>
        <v>Sensor</v>
      </c>
      <c r="B64" s="2">
        <f>'System Parameters'!B15</f>
        <v>0</v>
      </c>
      <c r="C64" s="1">
        <f>'System Parameters'!C15</f>
        <v>0</v>
      </c>
      <c r="D64" s="2">
        <f t="shared" si="1"/>
        <v>0</v>
      </c>
      <c r="E64" s="2">
        <f t="shared" si="3"/>
        <v>0</v>
      </c>
      <c r="F64" s="2">
        <f t="shared" si="7"/>
        <v>0</v>
      </c>
      <c r="G64" s="2">
        <f t="shared" ref="G64:O64" si="11">$B64</f>
        <v>0</v>
      </c>
      <c r="H64" s="2">
        <f t="shared" si="11"/>
        <v>0</v>
      </c>
      <c r="I64" s="2">
        <f t="shared" si="11"/>
        <v>0</v>
      </c>
      <c r="J64" s="2">
        <f t="shared" si="11"/>
        <v>0</v>
      </c>
      <c r="K64" s="2">
        <f t="shared" si="11"/>
        <v>0</v>
      </c>
      <c r="L64" s="2">
        <f t="shared" si="11"/>
        <v>0</v>
      </c>
      <c r="M64" s="2">
        <f t="shared" si="11"/>
        <v>0</v>
      </c>
      <c r="N64" s="2">
        <f t="shared" si="11"/>
        <v>0</v>
      </c>
      <c r="O64" s="2">
        <f t="shared" si="11"/>
        <v>0</v>
      </c>
      <c r="T64" s="1">
        <f>'System Parameters'!E15</f>
        <v>0</v>
      </c>
      <c r="U64" s="1">
        <f>'System Parameters'!F15</f>
        <v>0</v>
      </c>
      <c r="V64" s="1">
        <f>'System Parameters'!G15</f>
        <v>0</v>
      </c>
      <c r="W64" s="1">
        <f>'System Parameters'!H15</f>
        <v>0</v>
      </c>
    </row>
    <row r="65" customHeight="1" spans="1:23">
      <c r="A65" s="1" t="str">
        <f>'System Parameters'!A16</f>
        <v>On</v>
      </c>
      <c r="B65" s="2">
        <f>'System Parameters'!B16</f>
        <v>16.9</v>
      </c>
      <c r="C65" s="1" t="str">
        <f>'System Parameters'!C16</f>
        <v>mW</v>
      </c>
      <c r="D65" s="2">
        <f t="shared" si="1"/>
        <v>16.9</v>
      </c>
      <c r="E65" s="2">
        <f t="shared" si="3"/>
        <v>16.9</v>
      </c>
      <c r="F65" s="2">
        <f t="shared" si="7"/>
        <v>16.9</v>
      </c>
      <c r="G65" s="2">
        <f t="shared" ref="G65:G76" si="12">$B65</f>
        <v>16.9</v>
      </c>
      <c r="H65" s="1">
        <f>$B65*0.9</f>
        <v>15.21</v>
      </c>
      <c r="I65" s="2">
        <f t="shared" ref="I65:O65" si="13">$B65</f>
        <v>16.9</v>
      </c>
      <c r="J65" s="2">
        <f t="shared" si="13"/>
        <v>16.9</v>
      </c>
      <c r="K65" s="2">
        <f t="shared" si="13"/>
        <v>16.9</v>
      </c>
      <c r="L65" s="2">
        <f t="shared" si="13"/>
        <v>16.9</v>
      </c>
      <c r="M65" s="2">
        <f t="shared" si="13"/>
        <v>16.9</v>
      </c>
      <c r="N65" s="2">
        <f t="shared" si="13"/>
        <v>16.9</v>
      </c>
      <c r="O65" s="2">
        <f t="shared" si="13"/>
        <v>16.9</v>
      </c>
      <c r="T65" s="3">
        <f>'System Parameters'!E16</f>
        <v>0</v>
      </c>
      <c r="U65" s="3">
        <f>'System Parameters'!F16</f>
        <v>0.2</v>
      </c>
      <c r="V65" s="3">
        <f>'System Parameters'!G16</f>
        <v>0.3</v>
      </c>
      <c r="W65" s="1">
        <f>'System Parameters'!H16</f>
        <v>0</v>
      </c>
    </row>
    <row r="66" customHeight="1" spans="1:23">
      <c r="A66" s="1" t="str">
        <f>'System Parameters'!A17</f>
        <v>Idle</v>
      </c>
      <c r="B66" s="2">
        <f>'System Parameters'!B17</f>
        <v>16.5</v>
      </c>
      <c r="C66" s="1" t="str">
        <f>'System Parameters'!C17</f>
        <v>mW</v>
      </c>
      <c r="D66" s="2">
        <f t="shared" si="1"/>
        <v>16.5</v>
      </c>
      <c r="E66" s="2">
        <f t="shared" si="3"/>
        <v>16.5</v>
      </c>
      <c r="F66" s="2">
        <f t="shared" si="7"/>
        <v>16.5</v>
      </c>
      <c r="G66" s="2">
        <f t="shared" si="12"/>
        <v>16.5</v>
      </c>
      <c r="H66" s="2">
        <f t="shared" ref="H66:H76" si="14">$B66</f>
        <v>16.5</v>
      </c>
      <c r="I66" s="1">
        <f>$B66*0.9</f>
        <v>14.85</v>
      </c>
      <c r="J66" s="2">
        <f t="shared" ref="J66:O66" si="15">$B66</f>
        <v>16.5</v>
      </c>
      <c r="K66" s="2">
        <f t="shared" si="15"/>
        <v>16.5</v>
      </c>
      <c r="L66" s="2">
        <f t="shared" si="15"/>
        <v>16.5</v>
      </c>
      <c r="M66" s="2">
        <f t="shared" si="15"/>
        <v>16.5</v>
      </c>
      <c r="N66" s="2">
        <f t="shared" si="15"/>
        <v>16.5</v>
      </c>
      <c r="O66" s="2">
        <f t="shared" si="15"/>
        <v>16.5</v>
      </c>
      <c r="T66" s="3">
        <f>'System Parameters'!E17</f>
        <v>1</v>
      </c>
      <c r="U66" s="3">
        <f>'System Parameters'!F17</f>
        <v>0.8</v>
      </c>
      <c r="V66" s="3">
        <f>'System Parameters'!G17</f>
        <v>0.7</v>
      </c>
      <c r="W66" s="1">
        <f>'System Parameters'!H17</f>
        <v>0</v>
      </c>
    </row>
    <row r="67" customHeight="1" spans="1:23">
      <c r="A67" s="1" t="str">
        <f>'System Parameters'!A18</f>
        <v>Off</v>
      </c>
      <c r="B67" s="2">
        <f>'System Parameters'!B18</f>
        <v>0</v>
      </c>
      <c r="C67" s="1" t="str">
        <f>'System Parameters'!C18</f>
        <v>mW</v>
      </c>
      <c r="D67" s="2">
        <f t="shared" si="1"/>
        <v>0</v>
      </c>
      <c r="E67" s="2">
        <f t="shared" si="3"/>
        <v>0</v>
      </c>
      <c r="F67" s="2">
        <f t="shared" si="7"/>
        <v>0</v>
      </c>
      <c r="G67" s="2">
        <f t="shared" si="12"/>
        <v>0</v>
      </c>
      <c r="H67" s="2">
        <f t="shared" si="14"/>
        <v>0</v>
      </c>
      <c r="I67" s="2">
        <f t="shared" ref="I67:I76" si="16">$B67</f>
        <v>0</v>
      </c>
      <c r="J67" s="1">
        <f>$B67*0.9</f>
        <v>0</v>
      </c>
      <c r="K67" s="2">
        <f t="shared" ref="K67:O67" si="17">$B67</f>
        <v>0</v>
      </c>
      <c r="L67" s="2">
        <f t="shared" si="17"/>
        <v>0</v>
      </c>
      <c r="M67" s="2">
        <f t="shared" si="17"/>
        <v>0</v>
      </c>
      <c r="N67" s="2">
        <f t="shared" si="17"/>
        <v>0</v>
      </c>
      <c r="O67" s="2">
        <f t="shared" si="17"/>
        <v>0</v>
      </c>
      <c r="T67" s="3">
        <f>'System Parameters'!E18</f>
        <v>0</v>
      </c>
      <c r="U67" s="3">
        <f>'System Parameters'!F18</f>
        <v>0</v>
      </c>
      <c r="V67" s="3">
        <f>'System Parameters'!G18</f>
        <v>0</v>
      </c>
      <c r="W67" s="1">
        <f>'System Parameters'!H18</f>
        <v>0</v>
      </c>
    </row>
    <row r="68" customHeight="1" spans="1:23">
      <c r="A68" s="1">
        <f>'System Parameters'!A19</f>
        <v>0</v>
      </c>
      <c r="B68" s="2">
        <f>'System Parameters'!B19</f>
        <v>0</v>
      </c>
      <c r="C68" s="1">
        <f>'System Parameters'!C19</f>
        <v>0</v>
      </c>
      <c r="D68" s="2">
        <f t="shared" si="1"/>
        <v>0</v>
      </c>
      <c r="E68" s="2">
        <f t="shared" si="3"/>
        <v>0</v>
      </c>
      <c r="F68" s="2">
        <f t="shared" si="7"/>
        <v>0</v>
      </c>
      <c r="G68" s="2">
        <f t="shared" si="12"/>
        <v>0</v>
      </c>
      <c r="H68" s="2">
        <f t="shared" si="14"/>
        <v>0</v>
      </c>
      <c r="I68" s="2">
        <f t="shared" si="16"/>
        <v>0</v>
      </c>
      <c r="J68" s="2">
        <f t="shared" ref="J68:O68" si="18">$B68</f>
        <v>0</v>
      </c>
      <c r="K68" s="2">
        <f t="shared" si="18"/>
        <v>0</v>
      </c>
      <c r="L68" s="2">
        <f t="shared" si="18"/>
        <v>0</v>
      </c>
      <c r="M68" s="2">
        <f t="shared" si="18"/>
        <v>0</v>
      </c>
      <c r="N68" s="2">
        <f t="shared" si="18"/>
        <v>0</v>
      </c>
      <c r="O68" s="2">
        <f t="shared" si="18"/>
        <v>0</v>
      </c>
      <c r="T68" s="1">
        <f>'System Parameters'!E19</f>
        <v>0</v>
      </c>
      <c r="U68" s="1">
        <f>'System Parameters'!F19</f>
        <v>0</v>
      </c>
      <c r="V68" s="1">
        <f>'System Parameters'!G19</f>
        <v>0</v>
      </c>
      <c r="W68" s="1">
        <f>'System Parameters'!H19</f>
        <v>0</v>
      </c>
    </row>
    <row r="69" customHeight="1" spans="1:23">
      <c r="A69" s="1" t="str">
        <f>'System Parameters'!A20</f>
        <v>Display</v>
      </c>
      <c r="B69" s="2">
        <f>'System Parameters'!B20</f>
        <v>0</v>
      </c>
      <c r="C69" s="1">
        <f>'System Parameters'!C20</f>
        <v>0</v>
      </c>
      <c r="D69" s="2">
        <f t="shared" si="1"/>
        <v>0</v>
      </c>
      <c r="E69" s="2">
        <f t="shared" si="3"/>
        <v>0</v>
      </c>
      <c r="F69" s="2">
        <f t="shared" si="7"/>
        <v>0</v>
      </c>
      <c r="G69" s="2">
        <f t="shared" si="12"/>
        <v>0</v>
      </c>
      <c r="H69" s="2">
        <f t="shared" si="14"/>
        <v>0</v>
      </c>
      <c r="I69" s="2">
        <f t="shared" si="16"/>
        <v>0</v>
      </c>
      <c r="J69" s="2">
        <f t="shared" ref="J69:O69" si="19">$B69</f>
        <v>0</v>
      </c>
      <c r="K69" s="2">
        <f t="shared" si="19"/>
        <v>0</v>
      </c>
      <c r="L69" s="2">
        <f t="shared" si="19"/>
        <v>0</v>
      </c>
      <c r="M69" s="2">
        <f t="shared" si="19"/>
        <v>0</v>
      </c>
      <c r="N69" s="2">
        <f t="shared" si="19"/>
        <v>0</v>
      </c>
      <c r="O69" s="2">
        <f t="shared" si="19"/>
        <v>0</v>
      </c>
      <c r="T69" s="1">
        <f>'System Parameters'!E20</f>
        <v>0</v>
      </c>
      <c r="U69" s="1">
        <f>'System Parameters'!F20</f>
        <v>0</v>
      </c>
      <c r="V69" s="1">
        <f>'System Parameters'!G20</f>
        <v>0</v>
      </c>
      <c r="W69" s="1">
        <f>'System Parameters'!H20</f>
        <v>0</v>
      </c>
    </row>
    <row r="70" customHeight="1" spans="1:23">
      <c r="A70" s="1" t="str">
        <f>'System Parameters'!A21</f>
        <v>On</v>
      </c>
      <c r="B70" s="2">
        <f>'System Parameters'!B21</f>
        <v>0</v>
      </c>
      <c r="C70" s="1" t="str">
        <f>'System Parameters'!C21</f>
        <v>mW</v>
      </c>
      <c r="D70" s="2">
        <f t="shared" si="1"/>
        <v>0</v>
      </c>
      <c r="E70" s="2">
        <f t="shared" si="3"/>
        <v>0</v>
      </c>
      <c r="F70" s="2">
        <f t="shared" si="7"/>
        <v>0</v>
      </c>
      <c r="G70" s="2">
        <f t="shared" si="12"/>
        <v>0</v>
      </c>
      <c r="H70" s="2">
        <f t="shared" si="14"/>
        <v>0</v>
      </c>
      <c r="I70" s="2">
        <f t="shared" si="16"/>
        <v>0</v>
      </c>
      <c r="J70" s="2">
        <f t="shared" ref="J70:J76" si="20">$B70</f>
        <v>0</v>
      </c>
      <c r="K70" s="1">
        <f>$B70*0.9</f>
        <v>0</v>
      </c>
      <c r="L70" s="2">
        <f t="shared" ref="L70:O70" si="21">$B70</f>
        <v>0</v>
      </c>
      <c r="M70" s="2">
        <f t="shared" si="21"/>
        <v>0</v>
      </c>
      <c r="N70" s="2">
        <f t="shared" si="21"/>
        <v>0</v>
      </c>
      <c r="O70" s="2">
        <f t="shared" si="21"/>
        <v>0</v>
      </c>
      <c r="T70" s="3">
        <f>'System Parameters'!E21</f>
        <v>0</v>
      </c>
      <c r="U70" s="3">
        <f>'System Parameters'!F21</f>
        <v>0</v>
      </c>
      <c r="V70" s="3">
        <f>'System Parameters'!G21</f>
        <v>0</v>
      </c>
      <c r="W70" s="1">
        <f>'System Parameters'!H21</f>
        <v>0</v>
      </c>
    </row>
    <row r="71" customHeight="1" spans="1:23">
      <c r="A71" s="1" t="str">
        <f>'System Parameters'!A22</f>
        <v>Off (leakage)</v>
      </c>
      <c r="B71" s="2">
        <f>'System Parameters'!B22</f>
        <v>0</v>
      </c>
      <c r="C71" s="1" t="str">
        <f>'System Parameters'!C22</f>
        <v>mW</v>
      </c>
      <c r="D71" s="2">
        <f t="shared" si="1"/>
        <v>0</v>
      </c>
      <c r="E71" s="2">
        <f t="shared" si="3"/>
        <v>0</v>
      </c>
      <c r="F71" s="2">
        <f t="shared" si="7"/>
        <v>0</v>
      </c>
      <c r="G71" s="2">
        <f t="shared" si="12"/>
        <v>0</v>
      </c>
      <c r="H71" s="2">
        <f t="shared" si="14"/>
        <v>0</v>
      </c>
      <c r="I71" s="2">
        <f t="shared" si="16"/>
        <v>0</v>
      </c>
      <c r="J71" s="2">
        <f t="shared" si="20"/>
        <v>0</v>
      </c>
      <c r="K71" s="2">
        <f t="shared" ref="K71:K76" si="22">$B71</f>
        <v>0</v>
      </c>
      <c r="L71" s="1">
        <f>$B71*0.9</f>
        <v>0</v>
      </c>
      <c r="M71" s="2">
        <f t="shared" ref="M71:O71" si="23">$B71</f>
        <v>0</v>
      </c>
      <c r="N71" s="2">
        <f t="shared" si="23"/>
        <v>0</v>
      </c>
      <c r="O71" s="2">
        <f t="shared" si="23"/>
        <v>0</v>
      </c>
      <c r="T71" s="3">
        <f>'System Parameters'!E22</f>
        <v>0</v>
      </c>
      <c r="U71" s="3">
        <f>'System Parameters'!F22</f>
        <v>0</v>
      </c>
      <c r="V71" s="3">
        <f>'System Parameters'!G22</f>
        <v>0</v>
      </c>
      <c r="W71" s="1">
        <f>'System Parameters'!H22</f>
        <v>0</v>
      </c>
    </row>
    <row r="72" customHeight="1" spans="1:23">
      <c r="A72" s="1">
        <f>'System Parameters'!A23</f>
        <v>0</v>
      </c>
      <c r="B72" s="1">
        <f>'System Parameters'!B23</f>
        <v>0</v>
      </c>
      <c r="C72" s="1">
        <f>'System Parameters'!C23</f>
        <v>0</v>
      </c>
      <c r="D72" s="1">
        <f t="shared" si="1"/>
        <v>0</v>
      </c>
      <c r="E72" s="1">
        <f t="shared" si="3"/>
        <v>0</v>
      </c>
      <c r="F72" s="1">
        <f t="shared" si="7"/>
        <v>0</v>
      </c>
      <c r="G72" s="1">
        <f t="shared" si="12"/>
        <v>0</v>
      </c>
      <c r="H72" s="1">
        <f t="shared" si="14"/>
        <v>0</v>
      </c>
      <c r="I72" s="1">
        <f t="shared" si="16"/>
        <v>0</v>
      </c>
      <c r="J72" s="1">
        <f t="shared" si="20"/>
        <v>0</v>
      </c>
      <c r="K72" s="1">
        <f t="shared" si="22"/>
        <v>0</v>
      </c>
      <c r="L72" s="1">
        <f t="shared" ref="L72:O72" si="24">$B72</f>
        <v>0</v>
      </c>
      <c r="M72" s="1">
        <f t="shared" si="24"/>
        <v>0</v>
      </c>
      <c r="N72" s="1">
        <f t="shared" si="24"/>
        <v>0</v>
      </c>
      <c r="O72" s="1">
        <f t="shared" si="24"/>
        <v>0</v>
      </c>
      <c r="T72" s="1">
        <f>'System Parameters'!E23</f>
        <v>0</v>
      </c>
      <c r="U72" s="1">
        <f>'System Parameters'!F23</f>
        <v>0</v>
      </c>
      <c r="V72" s="1">
        <f>'System Parameters'!G23</f>
        <v>0</v>
      </c>
      <c r="W72" s="1">
        <f>'System Parameters'!H23</f>
        <v>0</v>
      </c>
    </row>
    <row r="73" customHeight="1" spans="1:23">
      <c r="A73" s="1" t="str">
        <f>'System Parameters'!A24</f>
        <v>Radio</v>
      </c>
      <c r="B73" s="1">
        <f>'System Parameters'!B24</f>
        <v>0</v>
      </c>
      <c r="C73" s="1">
        <f>'System Parameters'!C24</f>
        <v>0</v>
      </c>
      <c r="D73" s="1">
        <f t="shared" si="1"/>
        <v>0</v>
      </c>
      <c r="E73" s="1">
        <f t="shared" si="3"/>
        <v>0</v>
      </c>
      <c r="F73" s="1">
        <f t="shared" si="7"/>
        <v>0</v>
      </c>
      <c r="G73" s="1">
        <f t="shared" si="12"/>
        <v>0</v>
      </c>
      <c r="H73" s="1">
        <f t="shared" si="14"/>
        <v>0</v>
      </c>
      <c r="I73" s="1">
        <f t="shared" si="16"/>
        <v>0</v>
      </c>
      <c r="J73" s="1">
        <f t="shared" si="20"/>
        <v>0</v>
      </c>
      <c r="K73" s="1">
        <f t="shared" si="22"/>
        <v>0</v>
      </c>
      <c r="L73" s="1">
        <f t="shared" ref="L73:O73" si="25">$B73</f>
        <v>0</v>
      </c>
      <c r="M73" s="1">
        <f t="shared" si="25"/>
        <v>0</v>
      </c>
      <c r="N73" s="1">
        <f t="shared" si="25"/>
        <v>0</v>
      </c>
      <c r="O73" s="1">
        <f t="shared" si="25"/>
        <v>0</v>
      </c>
      <c r="T73" s="1">
        <f>'System Parameters'!E24</f>
        <v>0</v>
      </c>
      <c r="U73" s="1">
        <f>'System Parameters'!F24</f>
        <v>0</v>
      </c>
      <c r="V73" s="1">
        <f>'System Parameters'!G24</f>
        <v>0</v>
      </c>
      <c r="W73" s="1">
        <f>'System Parameters'!H24</f>
        <v>0</v>
      </c>
    </row>
    <row r="74" customHeight="1" spans="1:23">
      <c r="A74" s="1" t="str">
        <f>'System Parameters'!A26</f>
        <v>Standby Power</v>
      </c>
      <c r="B74" s="2">
        <f>'System Parameters'!B26</f>
        <v>5.00002</v>
      </c>
      <c r="C74" s="1" t="str">
        <f>'System Parameters'!C26</f>
        <v>mW</v>
      </c>
      <c r="D74" s="2">
        <f t="shared" si="1"/>
        <v>5.00002</v>
      </c>
      <c r="E74" s="2">
        <f t="shared" si="3"/>
        <v>5.00002</v>
      </c>
      <c r="F74" s="2">
        <f t="shared" si="7"/>
        <v>5.00002</v>
      </c>
      <c r="G74" s="2">
        <f t="shared" si="12"/>
        <v>5.00002</v>
      </c>
      <c r="H74" s="2">
        <f t="shared" si="14"/>
        <v>5.00002</v>
      </c>
      <c r="I74" s="2">
        <f t="shared" si="16"/>
        <v>5.00002</v>
      </c>
      <c r="J74" s="2">
        <f t="shared" si="20"/>
        <v>5.00002</v>
      </c>
      <c r="K74" s="2">
        <f t="shared" si="22"/>
        <v>5.00002</v>
      </c>
      <c r="L74" s="2">
        <f t="shared" ref="L74:L76" si="26">$B74</f>
        <v>5.00002</v>
      </c>
      <c r="M74" s="1">
        <f>$B74*0.9</f>
        <v>4.500018</v>
      </c>
      <c r="N74" s="2">
        <f t="shared" ref="N74:O74" si="27">$B74</f>
        <v>5.00002</v>
      </c>
      <c r="O74" s="2">
        <f t="shared" si="27"/>
        <v>5.00002</v>
      </c>
      <c r="T74" s="3">
        <f>'System Parameters'!E26</f>
        <v>0</v>
      </c>
      <c r="U74" s="3">
        <f>'System Parameters'!F26</f>
        <v>0.95</v>
      </c>
      <c r="V74" s="3">
        <f>'System Parameters'!G26</f>
        <v>0.7</v>
      </c>
      <c r="W74" s="1">
        <f>'System Parameters'!H26</f>
        <v>0</v>
      </c>
    </row>
    <row r="75" customHeight="1" spans="1:23">
      <c r="A75" s="1" t="str">
        <f>'System Parameters'!A27</f>
        <v>TX Power</v>
      </c>
      <c r="B75" s="2">
        <f>'System Parameters'!B27</f>
        <v>20</v>
      </c>
      <c r="C75" s="1" t="str">
        <f>'System Parameters'!C27</f>
        <v>mW</v>
      </c>
      <c r="D75" s="2">
        <f t="shared" si="1"/>
        <v>20</v>
      </c>
      <c r="E75" s="2">
        <f t="shared" si="3"/>
        <v>20</v>
      </c>
      <c r="F75" s="2">
        <f t="shared" si="7"/>
        <v>20</v>
      </c>
      <c r="G75" s="2">
        <f t="shared" si="12"/>
        <v>20</v>
      </c>
      <c r="H75" s="2">
        <f t="shared" si="14"/>
        <v>20</v>
      </c>
      <c r="I75" s="2">
        <f t="shared" si="16"/>
        <v>20</v>
      </c>
      <c r="J75" s="2">
        <f t="shared" si="20"/>
        <v>20</v>
      </c>
      <c r="K75" s="2">
        <f t="shared" si="22"/>
        <v>20</v>
      </c>
      <c r="L75" s="2">
        <f t="shared" si="26"/>
        <v>20</v>
      </c>
      <c r="M75" s="2">
        <f t="shared" ref="M75:M76" si="28">$B75</f>
        <v>20</v>
      </c>
      <c r="N75" s="1">
        <f>$B75*0.9</f>
        <v>18</v>
      </c>
      <c r="O75" s="2">
        <f>$B75</f>
        <v>20</v>
      </c>
      <c r="T75" s="3">
        <f>'System Parameters'!E27</f>
        <v>0</v>
      </c>
      <c r="U75" s="3">
        <f>'System Parameters'!F27</f>
        <v>0.03</v>
      </c>
      <c r="V75" s="3">
        <f>'System Parameters'!G27</f>
        <v>0.2</v>
      </c>
      <c r="W75" s="1">
        <f>'System Parameters'!H27</f>
        <v>0</v>
      </c>
    </row>
    <row r="76" customHeight="1" spans="1:23">
      <c r="A76" s="1" t="str">
        <f>'System Parameters'!A28</f>
        <v>RX Power</v>
      </c>
      <c r="B76" s="2">
        <f>'System Parameters'!B28</f>
        <v>10</v>
      </c>
      <c r="C76" s="1" t="str">
        <f>'System Parameters'!C28</f>
        <v>mW</v>
      </c>
      <c r="D76" s="2">
        <f t="shared" si="1"/>
        <v>10</v>
      </c>
      <c r="E76" s="2">
        <f t="shared" si="3"/>
        <v>10</v>
      </c>
      <c r="F76" s="2">
        <f t="shared" si="7"/>
        <v>10</v>
      </c>
      <c r="G76" s="2">
        <f t="shared" si="12"/>
        <v>10</v>
      </c>
      <c r="H76" s="2">
        <f t="shared" si="14"/>
        <v>10</v>
      </c>
      <c r="I76" s="2">
        <f t="shared" si="16"/>
        <v>10</v>
      </c>
      <c r="J76" s="2">
        <f t="shared" si="20"/>
        <v>10</v>
      </c>
      <c r="K76" s="2">
        <f t="shared" si="22"/>
        <v>10</v>
      </c>
      <c r="L76" s="2">
        <f t="shared" si="26"/>
        <v>10</v>
      </c>
      <c r="M76" s="2">
        <f t="shared" si="28"/>
        <v>10</v>
      </c>
      <c r="N76" s="2">
        <f>$B76</f>
        <v>10</v>
      </c>
      <c r="O76" s="1">
        <f>$B76*0.9</f>
        <v>9</v>
      </c>
      <c r="T76" s="3">
        <f>'System Parameters'!E28</f>
        <v>0</v>
      </c>
      <c r="U76" s="3">
        <f>'System Parameters'!F28</f>
        <v>0.02</v>
      </c>
      <c r="V76" s="3">
        <f>'System Parameters'!G28</f>
        <v>0.1</v>
      </c>
      <c r="W76" s="1">
        <f>'System Parameters'!H28</f>
        <v>0</v>
      </c>
    </row>
    <row r="77" customHeight="1" spans="1:23">
      <c r="A77" s="1">
        <f>'System Parameters'!A29</f>
        <v>0</v>
      </c>
      <c r="B77" s="1">
        <f>'System Parameters'!B29</f>
        <v>0</v>
      </c>
      <c r="C77" s="1">
        <f>'System Parameters'!C29</f>
        <v>0</v>
      </c>
      <c r="D77" s="1">
        <f>'System Parameters'!D29</f>
        <v>0</v>
      </c>
      <c r="T77" s="1">
        <f>'System Parameters'!E29</f>
        <v>0</v>
      </c>
      <c r="U77" s="1">
        <f>'System Parameters'!F29</f>
        <v>0</v>
      </c>
      <c r="V77" s="1">
        <f>'System Parameters'!G29</f>
        <v>0</v>
      </c>
      <c r="W77" s="1">
        <f>'System Parameters'!H29</f>
        <v>0</v>
      </c>
    </row>
    <row r="78" customHeight="1" spans="1:23">
      <c r="A78" s="1">
        <f>'System Parameters'!A30</f>
        <v>0</v>
      </c>
      <c r="B78" s="1">
        <f>'System Parameters'!B30</f>
        <v>0</v>
      </c>
      <c r="C78" s="1">
        <f>'System Parameters'!C30</f>
        <v>0</v>
      </c>
      <c r="D78" s="1">
        <f>'System Parameters'!D30</f>
        <v>0</v>
      </c>
      <c r="T78" s="1">
        <f>'System Parameters'!E30</f>
        <v>22</v>
      </c>
      <c r="U78" s="1">
        <f>'System Parameters'!F30</f>
        <v>1.5</v>
      </c>
      <c r="V78" s="1">
        <f>'System Parameters'!G30</f>
        <v>0.5</v>
      </c>
      <c r="W78" s="1" t="str">
        <f>'System Parameters'!H30</f>
        <v>hours/day typical usage</v>
      </c>
    </row>
    <row r="79" customHeight="1" spans="1:23">
      <c r="A79" s="1" t="str">
        <f>'System Parameters'!A31</f>
        <v>Battery</v>
      </c>
      <c r="B79" s="1">
        <f>'System Parameters'!B31</f>
        <v>0</v>
      </c>
      <c r="C79" s="1">
        <f>'System Parameters'!C31</f>
        <v>0</v>
      </c>
      <c r="D79" s="1">
        <f>'System Parameters'!D31</f>
        <v>0</v>
      </c>
      <c r="T79" s="1">
        <f>'System Parameters'!E31</f>
        <v>0</v>
      </c>
      <c r="U79" s="1">
        <f>'System Parameters'!F31</f>
        <v>0</v>
      </c>
      <c r="V79" s="1">
        <f>'System Parameters'!G31</f>
        <v>0</v>
      </c>
      <c r="W79" s="1">
        <f>'System Parameters'!H31</f>
        <v>0</v>
      </c>
    </row>
    <row r="80" customHeight="1" spans="1:23">
      <c r="A80" s="1" t="str">
        <f>'System Parameters'!A32</f>
        <v>Capacity</v>
      </c>
      <c r="B80" s="2">
        <f>'System Parameters'!B32</f>
        <v>500</v>
      </c>
      <c r="C80" s="1" t="str">
        <f>'System Parameters'!C32</f>
        <v>mAh</v>
      </c>
      <c r="D80" s="1">
        <f>'System Parameters'!D32</f>
        <v>0</v>
      </c>
      <c r="T80" s="1">
        <f>'System Parameters'!E32</f>
        <v>0</v>
      </c>
      <c r="U80" s="1">
        <f>'System Parameters'!F32</f>
        <v>0</v>
      </c>
      <c r="V80" s="1">
        <f>'System Parameters'!G32</f>
        <v>0</v>
      </c>
      <c r="W80" s="1">
        <f>'System Parameters'!H32</f>
        <v>0</v>
      </c>
    </row>
    <row r="81" customHeight="1" spans="1:23">
      <c r="A81" s="1" t="str">
        <f>'System Parameters'!A33</f>
        <v>Nominal Voltage</v>
      </c>
      <c r="B81" s="2">
        <f>'System Parameters'!B33</f>
        <v>3.3</v>
      </c>
      <c r="C81" s="1" t="str">
        <f>'System Parameters'!C33</f>
        <v>V</v>
      </c>
      <c r="D81" s="1">
        <f>'System Parameters'!D33</f>
        <v>0</v>
      </c>
      <c r="T81" s="1">
        <f>'System Parameters'!E33</f>
        <v>0</v>
      </c>
      <c r="U81" s="1">
        <f>'System Parameters'!F33</f>
        <v>0</v>
      </c>
      <c r="V81" s="1">
        <f>'System Parameters'!G33</f>
        <v>0</v>
      </c>
      <c r="W81" s="1">
        <f>'System Parameters'!H33</f>
        <v>0</v>
      </c>
    </row>
    <row r="82" customHeight="1" spans="1:23">
      <c r="A82" s="1" t="str">
        <f>'System Parameters'!A34</f>
        <v>Regulator Efficiency</v>
      </c>
      <c r="B82" s="3">
        <f>'System Parameters'!B34</f>
        <v>0.95</v>
      </c>
      <c r="C82" s="1">
        <f>'System Parameters'!C34</f>
        <v>0</v>
      </c>
      <c r="D82" s="1">
        <f>'System Parameters'!D34</f>
        <v>0</v>
      </c>
      <c r="T82" s="1">
        <f>'System Parameters'!E34</f>
        <v>0</v>
      </c>
      <c r="U82" s="1">
        <f>'System Parameters'!F34</f>
        <v>0</v>
      </c>
      <c r="V82" s="1">
        <f>'System Parameters'!G34</f>
        <v>0</v>
      </c>
      <c r="W82" s="1">
        <f>'System Parameters'!H34</f>
        <v>0</v>
      </c>
    </row>
    <row r="83" customHeight="1" spans="1:23">
      <c r="A83" s="1">
        <f>'System Parameters'!A35</f>
        <v>0</v>
      </c>
      <c r="B83" s="1">
        <f>'System Parameters'!B35</f>
        <v>0</v>
      </c>
      <c r="C83" s="1">
        <f>'System Parameters'!C35</f>
        <v>0</v>
      </c>
      <c r="D83" s="1">
        <f>'System Parameters'!D35</f>
        <v>0</v>
      </c>
      <c r="O83" s="1">
        <f>'System Parameters'!E35</f>
        <v>0</v>
      </c>
      <c r="P83" s="1">
        <f>'System Parameters'!F35</f>
        <v>0</v>
      </c>
      <c r="Q83" s="1">
        <f>'System Parameters'!G35</f>
        <v>0</v>
      </c>
      <c r="R83" s="1">
        <f>'System Parameters'!H35</f>
        <v>0</v>
      </c>
      <c r="S83" s="1">
        <f>'System Parameters'!I35</f>
        <v>0</v>
      </c>
      <c r="T83" s="1">
        <f>'System Parameters'!J35</f>
        <v>0</v>
      </c>
      <c r="U83" s="1" t="e">
        <f>#REF!</f>
        <v>#REF!</v>
      </c>
      <c r="V83" s="1" t="e">
        <f>#REF!</f>
        <v>#REF!</v>
      </c>
    </row>
    <row r="84" customHeight="1" spans="1:23">
      <c r="A84" s="1" t="str">
        <f>'System Parameters'!A36</f>
        <v>Device uses 3.3V supply. Power values use P(mW)=3.3*I(mA).
No display is used in this sensor device, so Display On/Off power is set to 0 mW (kept in table for completeness).
Radio data rate kept at the template default (300 bps) because payload size / throughput was not measured in this iteration.
Soil moisture sensor datasheet provided focuses on wiring/code examples and does not list operating current on the pages available, so sensor power uses template placeholders and will be refined when exact ICC values are confirmed. 
Assumption: the soil moisture sensor can be power-gated or disabled during “off” profile; if not possible, set SensorIdle=100% in “off” profile instead of SensorOff=100%.</v>
      </c>
      <c r="B84" s="1">
        <f>'System Parameters'!B36</f>
        <v>0</v>
      </c>
      <c r="C84" s="1">
        <f>'System Parameters'!C36</f>
        <v>0</v>
      </c>
      <c r="D84" s="1">
        <f>'System Parameters'!D36</f>
        <v>0</v>
      </c>
      <c r="O84" s="1">
        <f>'System Parameters'!E36</f>
        <v>0</v>
      </c>
      <c r="P84" s="1">
        <f>'System Parameters'!F36</f>
        <v>0</v>
      </c>
      <c r="Q84" s="1">
        <f>'System Parameters'!G36</f>
        <v>0</v>
      </c>
      <c r="R84" s="1">
        <f>'System Parameters'!H36</f>
        <v>0</v>
      </c>
      <c r="S84" s="1">
        <f>'System Parameters'!I36</f>
        <v>0</v>
      </c>
      <c r="T84" s="1">
        <f>'System Parameters'!J36</f>
        <v>0</v>
      </c>
      <c r="U84" s="1" t="e">
        <f>#REF!</f>
        <v>#REF!</v>
      </c>
      <c r="V84" s="1" t="e">
        <f>#REF!</f>
        <v>#REF!</v>
      </c>
    </row>
    <row r="85" customHeight="1" spans="1:23">
      <c r="A85" s="1">
        <f>'System Parameters'!A37</f>
        <v>0</v>
      </c>
      <c r="B85" s="1">
        <f>'System Parameters'!K24</f>
        <v>0</v>
      </c>
      <c r="C85" s="1">
        <f>'System Parameters'!L24</f>
        <v>0</v>
      </c>
      <c r="D85" s="1">
        <f>'System Parameters'!M24</f>
        <v>0</v>
      </c>
      <c r="O85" s="1">
        <f>'System Parameters'!N24</f>
        <v>0</v>
      </c>
      <c r="P85" s="1">
        <f>'System Parameters'!O24</f>
        <v>0</v>
      </c>
      <c r="Q85" s="1">
        <f>'System Parameters'!P24</f>
        <v>0</v>
      </c>
      <c r="R85" s="1">
        <f>'System Parameters'!Q24</f>
        <v>0</v>
      </c>
      <c r="S85" s="1">
        <f>'System Parameters'!I37</f>
        <v>0</v>
      </c>
      <c r="T85" s="1">
        <f>'System Parameters'!J37</f>
        <v>0</v>
      </c>
      <c r="U85" s="1" t="e">
        <f>#REF!</f>
        <v>#REF!</v>
      </c>
      <c r="V85" s="1" t="e">
        <f>#REF!</f>
        <v>#REF!</v>
      </c>
    </row>
    <row r="86" customHeight="1" spans="1:23">
      <c r="A86" s="1" t="str">
        <f>'System Parameters'!A38</f>
        <v>REFLECTIONS : WHAT DID YOU LEARN FROM ANALYZING YOUR POWER.  TALK ABOUT SOME POTENTIAL TRADEOFFS. </v>
      </c>
      <c r="B86" s="1">
        <f>'System Parameters'!K25</f>
        <v>0</v>
      </c>
      <c r="C86" s="1" t="e">
        <f>#REF!</f>
        <v>#REF!</v>
      </c>
      <c r="D86" s="1" t="e">
        <f>#REF!</f>
        <v>#REF!</v>
      </c>
      <c r="O86" s="1" t="e">
        <f>#REF!</f>
        <v>#REF!</v>
      </c>
      <c r="P86" s="1" t="e">
        <f>#REF!</f>
        <v>#REF!</v>
      </c>
      <c r="Q86" s="1" t="e">
        <f>#REF!</f>
        <v>#REF!</v>
      </c>
      <c r="R86" s="1">
        <f>'System Parameters'!Q25</f>
        <v>0</v>
      </c>
      <c r="S86" s="1">
        <f>'System Parameters'!I38</f>
        <v>0</v>
      </c>
      <c r="T86" s="1">
        <f>'System Parameters'!J38</f>
        <v>0</v>
      </c>
      <c r="U86" s="1" t="e">
        <f>#REF!</f>
        <v>#REF!</v>
      </c>
      <c r="V86" s="1" t="e">
        <f>#REF!</f>
        <v>#REF!</v>
      </c>
    </row>
    <row r="87" customHeight="1" spans="1:23">
      <c r="A87" s="1" t="str">
        <f>'System Parameters'!L25</f>
        <v>Total power in profile (mw)</v>
      </c>
      <c r="B87" s="1">
        <f>'System Parameters'!M25</f>
        <v>0</v>
      </c>
      <c r="C87" s="1">
        <f>'System Parameters'!N25</f>
        <v>0</v>
      </c>
      <c r="R87" s="1">
        <f>'System Parameters'!Q26</f>
        <v>0</v>
      </c>
      <c r="S87" s="1">
        <f>'System Parameters'!I39</f>
        <v>0</v>
      </c>
      <c r="T87" s="1">
        <f>'System Parameters'!J39</f>
        <v>0</v>
      </c>
      <c r="U87" s="1">
        <f>'System Parameters'!K39</f>
        <v>0</v>
      </c>
      <c r="V87" s="1">
        <f>'System Parameters'!L39</f>
        <v>0</v>
      </c>
    </row>
    <row r="88" customHeight="1" spans="1:23">
      <c r="A88" s="1" t="str">
        <f>'System Parameters'!L26</f>
        <v>"off"</v>
      </c>
      <c r="B88" s="1">
        <f>SUMPRODUCT(B56:B76,$T56:$T76)</f>
        <v>16.645</v>
      </c>
      <c r="C88" s="1" t="str">
        <f>'System Parameters'!N26</f>
        <v>mW</v>
      </c>
      <c r="D88" s="1">
        <f t="shared" ref="D88:O88" si="29">SUMPRODUCT(D56:D76,$T56:$T76)</f>
        <v>16.645</v>
      </c>
      <c r="E88" s="1">
        <f t="shared" si="29"/>
        <v>16.645</v>
      </c>
      <c r="F88" s="1">
        <f t="shared" si="29"/>
        <v>16.6305</v>
      </c>
      <c r="G88" s="1">
        <f t="shared" si="29"/>
        <v>16.645</v>
      </c>
      <c r="H88" s="1">
        <f t="shared" si="29"/>
        <v>16.645</v>
      </c>
      <c r="I88" s="1">
        <f t="shared" si="29"/>
        <v>14.995</v>
      </c>
      <c r="J88" s="1">
        <f t="shared" si="29"/>
        <v>16.645</v>
      </c>
      <c r="K88" s="1">
        <f t="shared" si="29"/>
        <v>16.645</v>
      </c>
      <c r="L88" s="1">
        <f t="shared" si="29"/>
        <v>16.645</v>
      </c>
      <c r="M88" s="1">
        <f t="shared" si="29"/>
        <v>16.645</v>
      </c>
      <c r="N88" s="1">
        <f t="shared" si="29"/>
        <v>16.645</v>
      </c>
      <c r="O88" s="1">
        <f t="shared" si="29"/>
        <v>16.645</v>
      </c>
      <c r="R88" s="1">
        <f>'System Parameters'!Q27</f>
        <v>0</v>
      </c>
      <c r="S88" s="1">
        <f>'System Parameters'!I40</f>
        <v>0</v>
      </c>
      <c r="T88" s="1">
        <f>'System Parameters'!J40</f>
        <v>0</v>
      </c>
      <c r="U88" s="1">
        <f>'System Parameters'!K40</f>
        <v>0</v>
      </c>
      <c r="V88" s="1">
        <f>'System Parameters'!L40</f>
        <v>0</v>
      </c>
    </row>
    <row r="89" customHeight="1" spans="1:23">
      <c r="A89" s="1" t="str">
        <f>'System Parameters'!L27</f>
        <v>"sensing"</v>
      </c>
      <c r="B89" s="1">
        <f>SUMPRODUCT(B56:B76,$U56:$U76)</f>
        <v>42.823519</v>
      </c>
      <c r="C89" s="1" t="str">
        <f>'System Parameters'!N27</f>
        <v>mW</v>
      </c>
      <c r="D89" s="1">
        <f t="shared" ref="D89:O89" si="30">SUMPRODUCT(D56:D76,$U56:$U76)</f>
        <v>41.127319</v>
      </c>
      <c r="E89" s="1">
        <f t="shared" si="30"/>
        <v>42.493519</v>
      </c>
      <c r="F89" s="1">
        <f t="shared" si="30"/>
        <v>42.813369</v>
      </c>
      <c r="G89" s="1">
        <f t="shared" si="30"/>
        <v>42.790519</v>
      </c>
      <c r="H89" s="1">
        <f t="shared" si="30"/>
        <v>42.485519</v>
      </c>
      <c r="I89" s="1">
        <f t="shared" si="30"/>
        <v>41.503519</v>
      </c>
      <c r="J89" s="1">
        <f t="shared" si="30"/>
        <v>42.823519</v>
      </c>
      <c r="K89" s="1">
        <f t="shared" si="30"/>
        <v>42.823519</v>
      </c>
      <c r="L89" s="1">
        <f t="shared" si="30"/>
        <v>42.823519</v>
      </c>
      <c r="M89" s="1">
        <f t="shared" si="30"/>
        <v>42.3485171</v>
      </c>
      <c r="N89" s="1">
        <f t="shared" si="30"/>
        <v>42.763519</v>
      </c>
      <c r="O89" s="1">
        <f t="shared" si="30"/>
        <v>42.803519</v>
      </c>
      <c r="R89" s="1">
        <f>'System Parameters'!Q28</f>
        <v>0</v>
      </c>
      <c r="S89" s="1">
        <f>'System Parameters'!I41</f>
        <v>0</v>
      </c>
      <c r="T89" s="1">
        <f>'System Parameters'!J41</f>
        <v>0</v>
      </c>
      <c r="U89" s="1">
        <f>'System Parameters'!K41</f>
        <v>0</v>
      </c>
      <c r="V89" s="1">
        <f>'System Parameters'!L41</f>
        <v>0</v>
      </c>
    </row>
    <row r="90" customHeight="1" spans="1:23">
      <c r="A90" s="1" t="str">
        <f>'System Parameters'!L28</f>
        <v>"interactive"</v>
      </c>
      <c r="B90" s="1">
        <f>SUMPRODUCT(B56:B76,$V56:$V76)</f>
        <v>86.005014</v>
      </c>
      <c r="C90" s="1" t="str">
        <f>'System Parameters'!N28</f>
        <v>mW</v>
      </c>
      <c r="D90" s="1">
        <f t="shared" ref="D90:O90" si="31">SUMPRODUCT(D56:D76,$V56:$V76)</f>
        <v>81.764514</v>
      </c>
      <c r="E90" s="1">
        <f t="shared" si="31"/>
        <v>84.355014</v>
      </c>
      <c r="F90" s="1">
        <f t="shared" si="31"/>
        <v>86.005014</v>
      </c>
      <c r="G90" s="1">
        <f t="shared" si="31"/>
        <v>85.807014</v>
      </c>
      <c r="H90" s="1">
        <f t="shared" si="31"/>
        <v>85.498014</v>
      </c>
      <c r="I90" s="1">
        <f t="shared" si="31"/>
        <v>84.850014</v>
      </c>
      <c r="J90" s="1">
        <f t="shared" si="31"/>
        <v>86.005014</v>
      </c>
      <c r="K90" s="1">
        <f t="shared" si="31"/>
        <v>86.005014</v>
      </c>
      <c r="L90" s="1">
        <f t="shared" si="31"/>
        <v>86.005014</v>
      </c>
      <c r="M90" s="1">
        <f t="shared" si="31"/>
        <v>85.6550126</v>
      </c>
      <c r="N90" s="1">
        <f t="shared" si="31"/>
        <v>85.605014</v>
      </c>
      <c r="O90" s="1">
        <f t="shared" si="31"/>
        <v>85.905014</v>
      </c>
      <c r="R90" s="1">
        <f>'System Parameters'!Q29</f>
        <v>0</v>
      </c>
      <c r="S90" s="1">
        <f>'System Parameters'!I42</f>
        <v>0</v>
      </c>
      <c r="T90" s="1">
        <f>'System Parameters'!J42</f>
        <v>0</v>
      </c>
      <c r="U90" s="1">
        <f>'System Parameters'!K42</f>
        <v>0</v>
      </c>
      <c r="V90" s="1">
        <f>'System Parameters'!L42</f>
        <v>0</v>
      </c>
    </row>
    <row r="91" customHeight="1" spans="1:23">
      <c r="A91" s="1">
        <f>'System Parameters'!L29</f>
        <v>0</v>
      </c>
      <c r="B91" s="1">
        <f>'System Parameters'!M29</f>
        <v>0</v>
      </c>
      <c r="C91" s="1">
        <f>'System Parameters'!N29</f>
        <v>0</v>
      </c>
      <c r="D91" s="1">
        <f>'System Parameters'!O29</f>
        <v>0</v>
      </c>
      <c r="E91" s="1">
        <f>'System Parameters'!P29</f>
        <v>0</v>
      </c>
      <c r="F91" s="1">
        <f>'System Parameters'!Q30</f>
        <v>0</v>
      </c>
      <c r="G91" s="1">
        <f>'System Parameters'!I43</f>
        <v>0</v>
      </c>
      <c r="H91" s="1">
        <f>'System Parameters'!J43</f>
        <v>0</v>
      </c>
      <c r="I91" s="1">
        <f>'System Parameters'!K43</f>
        <v>0</v>
      </c>
      <c r="J91" s="1">
        <f>'System Parameters'!L43</f>
        <v>0</v>
      </c>
      <c r="K91" s="1">
        <f>'System Parameters'!M43</f>
        <v>0</v>
      </c>
      <c r="L91" s="1">
        <f>'System Parameters'!N43</f>
        <v>0</v>
      </c>
      <c r="M91" s="1">
        <f>'System Parameters'!O43</f>
        <v>0</v>
      </c>
      <c r="N91" s="1">
        <f>'System Parameters'!P43</f>
        <v>0</v>
      </c>
      <c r="O91" s="1">
        <f>'System Parameters'!Q43</f>
        <v>0</v>
      </c>
      <c r="R91" s="1">
        <f>'System Parameters'!Q30</f>
        <v>0</v>
      </c>
      <c r="S91" s="1">
        <f>'System Parameters'!I43</f>
        <v>0</v>
      </c>
      <c r="T91" s="1">
        <f>'System Parameters'!J43</f>
        <v>0</v>
      </c>
      <c r="U91" s="1">
        <f>'System Parameters'!K43</f>
        <v>0</v>
      </c>
      <c r="V91" s="1">
        <f>'System Parameters'!L43</f>
        <v>0</v>
      </c>
    </row>
    <row r="92" customHeight="1" spans="1:23">
      <c r="A92" s="1" t="str">
        <f>'System Parameters'!L30</f>
        <v>Effective Battery Capacity</v>
      </c>
      <c r="B92" s="1">
        <f>'System Parameters'!M30</f>
        <v>0</v>
      </c>
      <c r="C92" s="1">
        <f>'System Parameters'!N30</f>
        <v>0</v>
      </c>
      <c r="D92" s="1">
        <f>'System Parameters'!O30</f>
        <v>0</v>
      </c>
      <c r="E92" s="1">
        <f>'System Parameters'!P30</f>
        <v>0</v>
      </c>
      <c r="F92" s="1">
        <f>'System Parameters'!Q31</f>
        <v>0</v>
      </c>
      <c r="G92" s="1">
        <f>'System Parameters'!I44</f>
        <v>0</v>
      </c>
      <c r="H92" s="1">
        <f>'System Parameters'!J44</f>
        <v>0</v>
      </c>
      <c r="I92" s="1">
        <f>'System Parameters'!K44</f>
        <v>0</v>
      </c>
      <c r="J92" s="1">
        <f>'System Parameters'!L44</f>
        <v>0</v>
      </c>
      <c r="K92" s="1">
        <f>'System Parameters'!M44</f>
        <v>0</v>
      </c>
      <c r="L92" s="1">
        <f>'System Parameters'!N44</f>
        <v>0</v>
      </c>
      <c r="M92" s="1">
        <f>'System Parameters'!O44</f>
        <v>0</v>
      </c>
      <c r="N92" s="1">
        <f>'System Parameters'!P44</f>
        <v>0</v>
      </c>
      <c r="O92" s="1">
        <f>'System Parameters'!Q44</f>
        <v>0</v>
      </c>
      <c r="P92" s="1">
        <f>'System Parameters'!O30</f>
        <v>0</v>
      </c>
      <c r="Q92" s="1">
        <f>'System Parameters'!P30</f>
        <v>0</v>
      </c>
      <c r="R92" s="1">
        <f>'System Parameters'!Q31</f>
        <v>0</v>
      </c>
      <c r="S92" s="1">
        <f>'System Parameters'!I44</f>
        <v>0</v>
      </c>
      <c r="T92" s="1">
        <f>'System Parameters'!J44</f>
        <v>0</v>
      </c>
      <c r="U92" s="1">
        <f>'System Parameters'!K44</f>
        <v>0</v>
      </c>
      <c r="V92" s="1">
        <f>'System Parameters'!L44</f>
        <v>0</v>
      </c>
    </row>
    <row r="93" customHeight="1" spans="1:23">
      <c r="A93" s="1">
        <f>'System Parameters'!L31</f>
        <v>0</v>
      </c>
      <c r="B93" s="1">
        <f>B80*B81*B82</f>
        <v>1567.5</v>
      </c>
      <c r="C93" s="1" t="str">
        <f>'System Parameters'!N31</f>
        <v>mW*h</v>
      </c>
      <c r="D93" s="1">
        <f t="shared" ref="D93:O93" si="32">$B93</f>
        <v>1567.5</v>
      </c>
      <c r="E93" s="1">
        <f t="shared" si="32"/>
        <v>1567.5</v>
      </c>
      <c r="F93" s="1">
        <f t="shared" si="32"/>
        <v>1567.5</v>
      </c>
      <c r="G93" s="1">
        <f t="shared" si="32"/>
        <v>1567.5</v>
      </c>
      <c r="H93" s="1">
        <f t="shared" si="32"/>
        <v>1567.5</v>
      </c>
      <c r="I93" s="1">
        <f t="shared" si="32"/>
        <v>1567.5</v>
      </c>
      <c r="J93" s="1">
        <f t="shared" si="32"/>
        <v>1567.5</v>
      </c>
      <c r="K93" s="1">
        <f t="shared" si="32"/>
        <v>1567.5</v>
      </c>
      <c r="L93" s="1">
        <f t="shared" si="32"/>
        <v>1567.5</v>
      </c>
      <c r="M93" s="1">
        <f t="shared" si="32"/>
        <v>1567.5</v>
      </c>
      <c r="N93" s="1">
        <f t="shared" si="32"/>
        <v>1567.5</v>
      </c>
      <c r="O93" s="1">
        <f t="shared" si="32"/>
        <v>1567.5</v>
      </c>
      <c r="P93" s="1">
        <f>'System Parameters'!O31</f>
        <v>0</v>
      </c>
      <c r="Q93" s="1">
        <f>'System Parameters'!P31</f>
        <v>0</v>
      </c>
      <c r="R93" s="1">
        <f>'System Parameters'!Q32</f>
        <v>0</v>
      </c>
      <c r="S93" s="1">
        <f>'System Parameters'!I45</f>
        <v>0</v>
      </c>
      <c r="T93" s="1">
        <f>'System Parameters'!J45</f>
        <v>0</v>
      </c>
      <c r="U93" s="1">
        <f>'System Parameters'!K45</f>
        <v>0</v>
      </c>
      <c r="V93" s="1">
        <f>'System Parameters'!L45</f>
        <v>0</v>
      </c>
    </row>
    <row r="94" customHeight="1" spans="1:23">
      <c r="A94" s="1">
        <f>'System Parameters'!L32</f>
        <v>0</v>
      </c>
      <c r="B94" s="1">
        <f>'System Parameters'!M32</f>
        <v>0</v>
      </c>
      <c r="C94" s="1">
        <f>'System Parameters'!N32</f>
        <v>0</v>
      </c>
      <c r="D94" s="1">
        <f>'System Parameters'!O32</f>
        <v>0</v>
      </c>
      <c r="E94" s="1">
        <f>'System Parameters'!P32</f>
        <v>0</v>
      </c>
      <c r="F94" s="1">
        <f>'System Parameters'!Q33</f>
        <v>0</v>
      </c>
      <c r="G94" s="1">
        <f>'System Parameters'!I46</f>
        <v>0</v>
      </c>
      <c r="H94" s="1">
        <f>'System Parameters'!J46</f>
        <v>0</v>
      </c>
      <c r="I94" s="1">
        <f>'System Parameters'!K46</f>
        <v>0</v>
      </c>
      <c r="J94" s="1">
        <f>'System Parameters'!L46</f>
        <v>0</v>
      </c>
      <c r="K94" s="1">
        <f>'System Parameters'!M46</f>
        <v>0</v>
      </c>
      <c r="L94" s="1">
        <f>'System Parameters'!N46</f>
        <v>0</v>
      </c>
      <c r="M94" s="1">
        <f>'System Parameters'!O46</f>
        <v>0</v>
      </c>
      <c r="N94" s="1">
        <f>'System Parameters'!P46</f>
        <v>0</v>
      </c>
      <c r="O94" s="1">
        <f>'System Parameters'!Q46</f>
        <v>0</v>
      </c>
      <c r="P94" s="1">
        <f>'System Parameters'!O32</f>
        <v>0</v>
      </c>
      <c r="Q94" s="1">
        <f>'System Parameters'!P32</f>
        <v>0</v>
      </c>
      <c r="R94" s="1">
        <f>'System Parameters'!Q33</f>
        <v>0</v>
      </c>
      <c r="S94" s="1">
        <f>'System Parameters'!I46</f>
        <v>0</v>
      </c>
      <c r="T94" s="1">
        <f>'System Parameters'!J46</f>
        <v>0</v>
      </c>
      <c r="U94" s="1">
        <f>'System Parameters'!K46</f>
        <v>0</v>
      </c>
      <c r="V94" s="1">
        <f>'System Parameters'!L46</f>
        <v>0</v>
      </c>
    </row>
    <row r="95" customHeight="1" spans="1:23">
      <c r="A95" s="1" t="str">
        <f>'System Parameters'!L33</f>
        <v>Days of Use</v>
      </c>
      <c r="B95" s="1">
        <f>B93/($T78*B88+$U78*B89+$V78*B90)</f>
        <v>3.31095902692851</v>
      </c>
      <c r="C95" s="1" t="str">
        <f>'System Parameters'!N33</f>
        <v>days</v>
      </c>
      <c r="D95" s="1">
        <f t="shared" ref="D95:O95" si="33">D93/($T78*D88+$U78*D89+$V78*D90)</f>
        <v>3.34390558237368</v>
      </c>
      <c r="E95" s="1">
        <f t="shared" si="33"/>
        <v>3.32021637461431</v>
      </c>
      <c r="F95" s="1">
        <f t="shared" si="33"/>
        <v>3.31329811030053</v>
      </c>
      <c r="G95" s="1">
        <f t="shared" si="33"/>
        <v>3.31199790065606</v>
      </c>
      <c r="H95" s="1">
        <f t="shared" si="33"/>
        <v>3.31628620826139</v>
      </c>
      <c r="I95" s="1">
        <f t="shared" si="33"/>
        <v>3.60701146005989</v>
      </c>
      <c r="J95" s="1">
        <f t="shared" si="33"/>
        <v>3.31095902692851</v>
      </c>
      <c r="K95" s="1">
        <f t="shared" si="33"/>
        <v>3.31095902692851</v>
      </c>
      <c r="L95" s="1">
        <f t="shared" si="33"/>
        <v>3.31095902692851</v>
      </c>
      <c r="M95" s="1">
        <f t="shared" si="33"/>
        <v>3.3171775187747</v>
      </c>
      <c r="N95" s="1">
        <f t="shared" si="33"/>
        <v>3.31298841064555</v>
      </c>
      <c r="O95" s="1">
        <f t="shared" si="33"/>
        <v>3.31151860855172</v>
      </c>
      <c r="P95" s="1">
        <f>'System Parameters'!O33</f>
        <v>0</v>
      </c>
      <c r="Q95" s="1">
        <f>'System Parameters'!P33</f>
        <v>0</v>
      </c>
      <c r="R95" s="1">
        <f>'System Parameters'!Q34</f>
        <v>0</v>
      </c>
      <c r="S95" s="1">
        <f>'System Parameters'!I47</f>
        <v>0</v>
      </c>
      <c r="T95" s="1">
        <f>'System Parameters'!J47</f>
        <v>0</v>
      </c>
      <c r="U95" s="1">
        <f>'System Parameters'!K47</f>
        <v>0</v>
      </c>
      <c r="V95" s="1">
        <f>'System Parameters'!L47</f>
        <v>0</v>
      </c>
    </row>
    <row r="96" customHeight="1" spans="1:23">
      <c r="A96" s="1" t="str">
        <f>'System Parameters'!L34</f>
        <v>Hours of Use</v>
      </c>
      <c r="B96" s="1">
        <f>B95*24</f>
        <v>79.4630166462843</v>
      </c>
      <c r="C96" s="1" t="str">
        <f>'System Parameters'!N34</f>
        <v>hours</v>
      </c>
      <c r="D96" s="1">
        <f t="shared" ref="D96:O96" si="34">D95*24</f>
        <v>80.2537339769684</v>
      </c>
      <c r="E96" s="1">
        <f t="shared" si="34"/>
        <v>79.6851929907434</v>
      </c>
      <c r="F96" s="1">
        <f t="shared" si="34"/>
        <v>79.5191546472127</v>
      </c>
      <c r="G96" s="1">
        <f t="shared" si="34"/>
        <v>79.4879496157454</v>
      </c>
      <c r="H96" s="1">
        <f t="shared" si="34"/>
        <v>79.5908689982734</v>
      </c>
      <c r="I96" s="1">
        <f t="shared" si="34"/>
        <v>86.5682750414375</v>
      </c>
      <c r="J96" s="1">
        <f t="shared" si="34"/>
        <v>79.4630166462843</v>
      </c>
      <c r="K96" s="1">
        <f t="shared" si="34"/>
        <v>79.4630166462843</v>
      </c>
      <c r="L96" s="1">
        <f t="shared" si="34"/>
        <v>79.4630166462843</v>
      </c>
      <c r="M96" s="1">
        <f t="shared" si="34"/>
        <v>79.6122604505929</v>
      </c>
      <c r="N96" s="1">
        <f t="shared" si="34"/>
        <v>79.5117218554932</v>
      </c>
      <c r="O96" s="1">
        <f t="shared" si="34"/>
        <v>79.4764466052414</v>
      </c>
      <c r="P96" s="1">
        <f>'System Parameters'!O34</f>
        <v>0</v>
      </c>
      <c r="Q96" s="1">
        <f>'System Parameters'!P34</f>
        <v>0</v>
      </c>
      <c r="R96" s="1">
        <f>'System Parameters'!Q35</f>
        <v>0</v>
      </c>
      <c r="S96" s="1">
        <f>'System Parameters'!I48</f>
        <v>0</v>
      </c>
      <c r="T96" s="1">
        <f>'System Parameters'!J48</f>
        <v>0</v>
      </c>
      <c r="U96" s="1">
        <f>'System Parameters'!K48</f>
        <v>0</v>
      </c>
      <c r="V96" s="1">
        <f>'System Parameters'!L48</f>
        <v>0</v>
      </c>
    </row>
    <row r="97" customHeight="1" spans="1:22">
      <c r="A97" s="1">
        <f>'System Parameters'!A49</f>
        <v>0</v>
      </c>
      <c r="B97" s="1">
        <f>'System Parameters'!K36</f>
        <v>0</v>
      </c>
      <c r="C97" s="1">
        <f>'System Parameters'!L36</f>
        <v>0</v>
      </c>
      <c r="D97" s="1">
        <f>'System Parameters'!M36</f>
        <v>0</v>
      </c>
      <c r="O97" s="1">
        <f>'System Parameters'!N36</f>
        <v>0</v>
      </c>
      <c r="P97" s="1">
        <f>'System Parameters'!O36</f>
        <v>0</v>
      </c>
      <c r="Q97" s="1">
        <f>'System Parameters'!P36</f>
        <v>0</v>
      </c>
      <c r="R97" s="1">
        <f>'System Parameters'!Q36</f>
        <v>0</v>
      </c>
      <c r="S97" s="1">
        <f>'System Parameters'!I49</f>
        <v>0</v>
      </c>
      <c r="T97" s="1">
        <f>'System Parameters'!J49</f>
        <v>0</v>
      </c>
      <c r="U97" s="1">
        <f>'System Parameters'!K49</f>
        <v>0</v>
      </c>
      <c r="V97" s="1">
        <f>'System Parameters'!L49</f>
        <v>0</v>
      </c>
    </row>
    <row r="98" customHeight="1" spans="1:22">
      <c r="A98" s="1" t="s">
        <v>48</v>
      </c>
      <c r="B98" s="1">
        <f>'System Parameters'!K37</f>
        <v>0</v>
      </c>
      <c r="C98" s="1">
        <f>'System Parameters'!L37</f>
        <v>0</v>
      </c>
      <c r="D98" s="4">
        <f t="shared" ref="D98:O98" si="35">D96/$B96-1</f>
        <v>0.00995075903302145</v>
      </c>
      <c r="E98" s="4">
        <f t="shared" si="35"/>
        <v>0.0027959716838859</v>
      </c>
      <c r="F98" s="4">
        <f t="shared" si="35"/>
        <v>0.000706467024507162</v>
      </c>
      <c r="G98" s="4">
        <f t="shared" si="35"/>
        <v>0.000313768222167443</v>
      </c>
      <c r="H98" s="4">
        <f t="shared" si="35"/>
        <v>0.00160895416994111</v>
      </c>
      <c r="I98" s="4">
        <f t="shared" si="35"/>
        <v>0.0894159156678005</v>
      </c>
      <c r="J98" s="4">
        <f t="shared" si="35"/>
        <v>0</v>
      </c>
      <c r="K98" s="4">
        <f t="shared" si="35"/>
        <v>0</v>
      </c>
      <c r="L98" s="4">
        <f t="shared" si="35"/>
        <v>0</v>
      </c>
      <c r="M98" s="4">
        <f t="shared" si="35"/>
        <v>0.00187815427361571</v>
      </c>
      <c r="N98" s="4">
        <f t="shared" si="35"/>
        <v>0.000612929275334739</v>
      </c>
      <c r="O98" s="4">
        <f t="shared" si="35"/>
        <v>0.000169008924200353</v>
      </c>
      <c r="P98" s="1">
        <f>'System Parameters'!O37</f>
        <v>0</v>
      </c>
      <c r="Q98" s="1">
        <f>'System Parameters'!P37</f>
        <v>0</v>
      </c>
      <c r="R98" s="1">
        <f>'System Parameters'!Q37</f>
        <v>0</v>
      </c>
      <c r="S98" s="1">
        <f>'System Parameters'!I50</f>
        <v>0</v>
      </c>
      <c r="T98" s="1">
        <f>'System Parameters'!J50</f>
        <v>0</v>
      </c>
      <c r="U98" s="1">
        <f>'System Parameters'!K50</f>
        <v>0</v>
      </c>
      <c r="V98" s="1">
        <f>'System Parameters'!L50</f>
        <v>0</v>
      </c>
    </row>
    <row r="99" customHeight="1" spans="1:22">
      <c r="A99" s="1" t="s">
        <v>49</v>
      </c>
      <c r="B99" s="1">
        <f>'System Parameters'!K38</f>
        <v>0</v>
      </c>
      <c r="C99" s="1">
        <f>'System Parameters'!L38</f>
        <v>0</v>
      </c>
      <c r="D99" s="1" t="s">
        <v>50</v>
      </c>
      <c r="E99" s="1" t="s">
        <v>51</v>
      </c>
      <c r="F99" s="1" t="s">
        <v>52</v>
      </c>
      <c r="G99" s="1" t="s">
        <v>53</v>
      </c>
      <c r="H99" s="1" t="s">
        <v>54</v>
      </c>
      <c r="I99" s="1" t="s">
        <v>55</v>
      </c>
      <c r="J99" s="1" t="s">
        <v>56</v>
      </c>
      <c r="K99" s="1" t="s">
        <v>57</v>
      </c>
      <c r="L99" s="1" t="s">
        <v>58</v>
      </c>
      <c r="M99" s="1" t="s">
        <v>59</v>
      </c>
      <c r="N99" s="1" t="s">
        <v>60</v>
      </c>
      <c r="O99" s="1" t="s">
        <v>61</v>
      </c>
      <c r="P99" s="1">
        <f>'System Parameters'!O38</f>
        <v>0</v>
      </c>
      <c r="Q99" s="1">
        <f>'System Parameters'!P38</f>
        <v>0</v>
      </c>
      <c r="R99" s="1">
        <f>'System Parameters'!Q38</f>
        <v>0</v>
      </c>
      <c r="S99" s="1">
        <f>'System Parameters'!I51</f>
        <v>0</v>
      </c>
      <c r="T99" s="1">
        <f>'System Parameters'!J51</f>
        <v>0</v>
      </c>
      <c r="U99" s="1">
        <f>'System Parameters'!K51</f>
        <v>0</v>
      </c>
      <c r="V99" s="1">
        <f>'System Parameters'!L51</f>
        <v>0</v>
      </c>
    </row>
    <row r="100" customHeight="1" spans="1:22">
      <c r="A100" s="1">
        <f>'System Parameters'!A52</f>
        <v>0</v>
      </c>
      <c r="B100" s="1">
        <f>'System Parameters'!B52</f>
        <v>0</v>
      </c>
      <c r="C100" s="1">
        <f>'System Parameters'!C52</f>
        <v>0</v>
      </c>
      <c r="D100" s="1">
        <f>'System Parameters'!D52</f>
        <v>0</v>
      </c>
      <c r="O100" s="1">
        <f>'System Parameters'!E52</f>
        <v>0</v>
      </c>
      <c r="P100" s="1">
        <f>'System Parameters'!F52</f>
        <v>0</v>
      </c>
      <c r="Q100" s="1">
        <f>'System Parameters'!G52</f>
        <v>0</v>
      </c>
      <c r="R100" s="1">
        <f>'System Parameters'!H52</f>
        <v>0</v>
      </c>
      <c r="S100" s="1">
        <f>'System Parameters'!I52</f>
        <v>0</v>
      </c>
      <c r="T100" s="1">
        <f>'System Parameters'!J52</f>
        <v>0</v>
      </c>
      <c r="U100" s="1">
        <f>'System Parameters'!K52</f>
        <v>0</v>
      </c>
      <c r="V100" s="1">
        <f>'System Parameters'!L52</f>
        <v>0</v>
      </c>
    </row>
    <row r="101" customHeight="1" spans="1:22">
      <c r="A101" s="1">
        <f>'System Parameters'!A53</f>
        <v>0</v>
      </c>
      <c r="B101" s="1">
        <f>'System Parameters'!B53</f>
        <v>0</v>
      </c>
      <c r="C101" s="1">
        <f>'System Parameters'!C53</f>
        <v>0</v>
      </c>
      <c r="D101" s="1">
        <f>'System Parameters'!D53</f>
        <v>0</v>
      </c>
      <c r="O101" s="1">
        <f>'System Parameters'!E53</f>
        <v>0</v>
      </c>
      <c r="P101" s="1">
        <f>'System Parameters'!F53</f>
        <v>0</v>
      </c>
      <c r="Q101" s="1">
        <f>'System Parameters'!G53</f>
        <v>0</v>
      </c>
      <c r="R101" s="1">
        <f>'System Parameters'!H53</f>
        <v>0</v>
      </c>
      <c r="S101" s="1">
        <f>'System Parameters'!I53</f>
        <v>0</v>
      </c>
      <c r="T101" s="1">
        <f>'System Parameters'!J53</f>
        <v>0</v>
      </c>
      <c r="U101" s="1">
        <f>'System Parameters'!K53</f>
        <v>0</v>
      </c>
      <c r="V101" s="1">
        <f>'System Parameters'!L53</f>
        <v>0</v>
      </c>
    </row>
    <row r="102" customHeight="1" spans="1:22">
      <c r="A102" s="1">
        <f>'System Parameters'!A54</f>
        <v>0</v>
      </c>
      <c r="B102" s="1">
        <f>'System Parameters'!B54</f>
        <v>0</v>
      </c>
      <c r="C102" s="1">
        <f>'System Parameters'!C54</f>
        <v>0</v>
      </c>
      <c r="D102" s="1">
        <f>'System Parameters'!D54</f>
        <v>0</v>
      </c>
      <c r="O102" s="1">
        <f>'System Parameters'!E54</f>
        <v>0</v>
      </c>
      <c r="P102" s="1">
        <f>'System Parameters'!F54</f>
        <v>0</v>
      </c>
      <c r="Q102" s="1">
        <f>'System Parameters'!G54</f>
        <v>0</v>
      </c>
      <c r="R102" s="1">
        <f>'System Parameters'!H54</f>
        <v>0</v>
      </c>
      <c r="S102" s="1">
        <f>'System Parameters'!I54</f>
        <v>0</v>
      </c>
      <c r="T102" s="1">
        <f>'System Parameters'!J54</f>
        <v>0</v>
      </c>
      <c r="U102" s="1">
        <f>'System Parameters'!K54</f>
        <v>0</v>
      </c>
      <c r="V102" s="1">
        <f>'System Parameters'!L54</f>
        <v>0</v>
      </c>
    </row>
    <row r="103" customHeight="1" spans="1:22">
      <c r="A103" s="1">
        <f>'System Parameters'!A55</f>
        <v>0</v>
      </c>
      <c r="B103" s="1">
        <f>'System Parameters'!B55</f>
        <v>0</v>
      </c>
      <c r="C103" s="1">
        <f>'System Parameters'!C55</f>
        <v>0</v>
      </c>
      <c r="D103" s="1">
        <f>'System Parameters'!D55</f>
        <v>0</v>
      </c>
      <c r="O103" s="1">
        <f>'System Parameters'!E55</f>
        <v>0</v>
      </c>
      <c r="P103" s="1">
        <f>'System Parameters'!F55</f>
        <v>0</v>
      </c>
      <c r="Q103" s="1">
        <f>'System Parameters'!G55</f>
        <v>0</v>
      </c>
      <c r="R103" s="1">
        <f>'System Parameters'!H55</f>
        <v>0</v>
      </c>
      <c r="S103" s="1">
        <f>'System Parameters'!I55</f>
        <v>0</v>
      </c>
      <c r="T103" s="1">
        <f>'System Parameters'!J55</f>
        <v>0</v>
      </c>
      <c r="U103" s="1">
        <f>'System Parameters'!K55</f>
        <v>0</v>
      </c>
      <c r="V103" s="1">
        <f>'System Parameters'!L55</f>
        <v>0</v>
      </c>
    </row>
    <row r="104" customHeight="1" spans="1:22">
      <c r="A104" s="1">
        <f>'System Parameters'!A56</f>
        <v>0</v>
      </c>
      <c r="B104" s="1">
        <f>'System Parameters'!B56</f>
        <v>0</v>
      </c>
      <c r="C104" s="1">
        <f>'System Parameters'!C56</f>
        <v>0</v>
      </c>
      <c r="D104" s="1">
        <f>'System Parameters'!D56</f>
        <v>0</v>
      </c>
      <c r="O104" s="1">
        <f>'System Parameters'!E56</f>
        <v>0</v>
      </c>
      <c r="P104" s="1">
        <f>'System Parameters'!F56</f>
        <v>0</v>
      </c>
      <c r="Q104" s="1">
        <f>'System Parameters'!G56</f>
        <v>0</v>
      </c>
      <c r="R104" s="1">
        <f>'System Parameters'!H56</f>
        <v>0</v>
      </c>
      <c r="S104" s="1">
        <f>'System Parameters'!I56</f>
        <v>0</v>
      </c>
      <c r="T104" s="1">
        <f>'System Parameters'!J56</f>
        <v>0</v>
      </c>
      <c r="U104" s="1">
        <f>'System Parameters'!K56</f>
        <v>0</v>
      </c>
      <c r="V104" s="1">
        <f>'System Parameters'!L56</f>
        <v>0</v>
      </c>
    </row>
    <row r="105" customHeight="1" spans="1:22">
      <c r="A105" s="1">
        <f>'System Parameters'!A57</f>
        <v>0</v>
      </c>
      <c r="B105" s="1">
        <f>'System Parameters'!B57</f>
        <v>0</v>
      </c>
      <c r="C105" s="1">
        <f>'System Parameters'!C57</f>
        <v>0</v>
      </c>
      <c r="D105" s="1">
        <f>'System Parameters'!D57</f>
        <v>0</v>
      </c>
      <c r="O105" s="1">
        <f>'System Parameters'!E57</f>
        <v>0</v>
      </c>
      <c r="P105" s="1">
        <f>'System Parameters'!F57</f>
        <v>0</v>
      </c>
      <c r="Q105" s="1">
        <f>'System Parameters'!G57</f>
        <v>0</v>
      </c>
      <c r="R105" s="1">
        <f>'System Parameters'!H57</f>
        <v>0</v>
      </c>
      <c r="S105" s="1">
        <f>'System Parameters'!I57</f>
        <v>0</v>
      </c>
      <c r="T105" s="1">
        <f>'System Parameters'!J57</f>
        <v>0</v>
      </c>
      <c r="U105" s="1">
        <f>'System Parameters'!K57</f>
        <v>0</v>
      </c>
      <c r="V105" s="1">
        <f>'System Parameters'!L57</f>
        <v>0</v>
      </c>
    </row>
    <row r="106" customHeight="1" spans="1:22">
      <c r="A106" s="1">
        <f>'System Parameters'!A58</f>
        <v>0</v>
      </c>
      <c r="B106" s="1">
        <f>'System Parameters'!B58</f>
        <v>0</v>
      </c>
      <c r="C106" s="1">
        <f>'System Parameters'!C58</f>
        <v>0</v>
      </c>
      <c r="D106" s="1">
        <f>'System Parameters'!D58</f>
        <v>0</v>
      </c>
      <c r="O106" s="1">
        <f>'System Parameters'!E58</f>
        <v>0</v>
      </c>
      <c r="P106" s="1">
        <f>'System Parameters'!F58</f>
        <v>0</v>
      </c>
      <c r="Q106" s="1">
        <f>'System Parameters'!G58</f>
        <v>0</v>
      </c>
      <c r="R106" s="1">
        <f>'System Parameters'!H58</f>
        <v>0</v>
      </c>
      <c r="S106" s="1">
        <f>'System Parameters'!I58</f>
        <v>0</v>
      </c>
      <c r="T106" s="1">
        <f>'System Parameters'!J58</f>
        <v>0</v>
      </c>
      <c r="U106" s="1">
        <f>'System Parameters'!K58</f>
        <v>0</v>
      </c>
      <c r="V106" s="1">
        <f>'System Parameters'!L58</f>
        <v>0</v>
      </c>
    </row>
    <row r="107" customHeight="1" spans="1:22">
      <c r="A107" s="1">
        <f>'System Parameters'!A59</f>
        <v>0</v>
      </c>
      <c r="B107" s="1">
        <f>'System Parameters'!B59</f>
        <v>0</v>
      </c>
      <c r="C107" s="1">
        <f>'System Parameters'!C59</f>
        <v>0</v>
      </c>
      <c r="D107" s="1">
        <f>'System Parameters'!D59</f>
        <v>0</v>
      </c>
      <c r="O107" s="1">
        <f>'System Parameters'!E59</f>
        <v>0</v>
      </c>
      <c r="P107" s="1">
        <f>'System Parameters'!F59</f>
        <v>0</v>
      </c>
      <c r="Q107" s="1">
        <f>'System Parameters'!G59</f>
        <v>0</v>
      </c>
      <c r="R107" s="1">
        <f>'System Parameters'!H59</f>
        <v>0</v>
      </c>
      <c r="S107" s="1">
        <f>'System Parameters'!I59</f>
        <v>0</v>
      </c>
      <c r="T107" s="1">
        <f>'System Parameters'!J59</f>
        <v>0</v>
      </c>
      <c r="U107" s="1">
        <f>'System Parameters'!K59</f>
        <v>0</v>
      </c>
      <c r="V107" s="1">
        <f>'System Parameters'!L59</f>
        <v>0</v>
      </c>
    </row>
    <row r="108" customHeight="1" spans="1:22">
      <c r="A108" s="1">
        <f>'System Parameters'!A60</f>
        <v>0</v>
      </c>
      <c r="B108" s="1">
        <f>'System Parameters'!B60</f>
        <v>0</v>
      </c>
      <c r="C108" s="1">
        <f>'System Parameters'!C60</f>
        <v>0</v>
      </c>
      <c r="D108" s="1">
        <f>'System Parameters'!D60</f>
        <v>0</v>
      </c>
      <c r="O108" s="1">
        <f>'System Parameters'!E60</f>
        <v>0</v>
      </c>
      <c r="P108" s="1">
        <f>'System Parameters'!F60</f>
        <v>0</v>
      </c>
      <c r="Q108" s="1">
        <f>'System Parameters'!G60</f>
        <v>0</v>
      </c>
      <c r="R108" s="1">
        <f>'System Parameters'!H60</f>
        <v>0</v>
      </c>
      <c r="S108" s="1">
        <f>'System Parameters'!I60</f>
        <v>0</v>
      </c>
      <c r="T108" s="1">
        <f>'System Parameters'!J60</f>
        <v>0</v>
      </c>
      <c r="U108" s="1">
        <f>'System Parameters'!K60</f>
        <v>0</v>
      </c>
      <c r="V108" s="1">
        <f>'System Parameters'!L60</f>
        <v>0</v>
      </c>
    </row>
    <row r="109" customHeight="1" spans="1:22">
      <c r="A109" s="1">
        <f>'System Parameters'!A61</f>
        <v>0</v>
      </c>
      <c r="B109" s="1">
        <f>'System Parameters'!B61</f>
        <v>0</v>
      </c>
      <c r="C109" s="1">
        <f>'System Parameters'!C61</f>
        <v>0</v>
      </c>
      <c r="D109" s="1">
        <f>'System Parameters'!D61</f>
        <v>0</v>
      </c>
      <c r="O109" s="1">
        <f>'System Parameters'!E61</f>
        <v>0</v>
      </c>
      <c r="P109" s="1">
        <f>'System Parameters'!F61</f>
        <v>0</v>
      </c>
      <c r="Q109" s="1">
        <f>'System Parameters'!G61</f>
        <v>0</v>
      </c>
      <c r="R109" s="1">
        <f>'System Parameters'!H61</f>
        <v>0</v>
      </c>
      <c r="S109" s="1">
        <f>'System Parameters'!I61</f>
        <v>0</v>
      </c>
      <c r="T109" s="1">
        <f>'System Parameters'!J61</f>
        <v>0</v>
      </c>
      <c r="U109" s="1">
        <f>'System Parameters'!K61</f>
        <v>0</v>
      </c>
      <c r="V109" s="1">
        <f>'System Parameters'!L61</f>
        <v>0</v>
      </c>
    </row>
    <row r="110" customHeight="1" spans="1:22">
      <c r="A110" s="1">
        <f>'System Parameters'!A62</f>
        <v>0</v>
      </c>
      <c r="B110" s="1">
        <f>'System Parameters'!B62</f>
        <v>0</v>
      </c>
      <c r="C110" s="1">
        <f>'System Parameters'!C62</f>
        <v>0</v>
      </c>
      <c r="D110" s="1">
        <f>'System Parameters'!D62</f>
        <v>0</v>
      </c>
      <c r="O110" s="1">
        <f>'System Parameters'!E62</f>
        <v>0</v>
      </c>
      <c r="P110" s="1">
        <f>'System Parameters'!F62</f>
        <v>0</v>
      </c>
      <c r="Q110" s="1">
        <f>'System Parameters'!G62</f>
        <v>0</v>
      </c>
      <c r="R110" s="1">
        <f>'System Parameters'!H62</f>
        <v>0</v>
      </c>
      <c r="S110" s="1">
        <f>'System Parameters'!I62</f>
        <v>0</v>
      </c>
      <c r="T110" s="1">
        <f>'System Parameters'!J62</f>
        <v>0</v>
      </c>
      <c r="U110" s="1">
        <f>'System Parameters'!K62</f>
        <v>0</v>
      </c>
      <c r="V110" s="1">
        <f>'System Parameters'!L62</f>
        <v>0</v>
      </c>
    </row>
    <row r="111" customHeight="1" spans="1:22">
      <c r="A111" s="1">
        <f>'System Parameters'!A63</f>
        <v>0</v>
      </c>
      <c r="B111" s="1">
        <f>'System Parameters'!B63</f>
        <v>0</v>
      </c>
      <c r="C111" s="1">
        <f>'System Parameters'!C63</f>
        <v>0</v>
      </c>
      <c r="D111" s="1">
        <f>'System Parameters'!D63</f>
        <v>0</v>
      </c>
      <c r="O111" s="1">
        <f>'System Parameters'!E63</f>
        <v>0</v>
      </c>
      <c r="P111" s="1">
        <f>'System Parameters'!F63</f>
        <v>0</v>
      </c>
      <c r="Q111" s="1">
        <f>'System Parameters'!G63</f>
        <v>0</v>
      </c>
      <c r="R111" s="1">
        <f>'System Parameters'!H63</f>
        <v>0</v>
      </c>
      <c r="S111" s="1">
        <f>'System Parameters'!I63</f>
        <v>0</v>
      </c>
      <c r="T111" s="1">
        <f>'System Parameters'!J63</f>
        <v>0</v>
      </c>
      <c r="U111" s="1">
        <f>'System Parameters'!K63</f>
        <v>0</v>
      </c>
      <c r="V111" s="1">
        <f>'System Parameters'!L63</f>
        <v>0</v>
      </c>
    </row>
    <row r="112" customHeight="1" spans="1:22">
      <c r="A112" s="1">
        <f>'System Parameters'!A64</f>
        <v>0</v>
      </c>
      <c r="B112" s="1">
        <f>'System Parameters'!B64</f>
        <v>0</v>
      </c>
      <c r="C112" s="1">
        <f>'System Parameters'!C64</f>
        <v>0</v>
      </c>
      <c r="D112" s="1">
        <f>'System Parameters'!D64</f>
        <v>0</v>
      </c>
      <c r="O112" s="1">
        <f>'System Parameters'!E64</f>
        <v>0</v>
      </c>
      <c r="P112" s="1">
        <f>'System Parameters'!F64</f>
        <v>0</v>
      </c>
      <c r="Q112" s="1">
        <f>'System Parameters'!G64</f>
        <v>0</v>
      </c>
      <c r="R112" s="1">
        <f>'System Parameters'!H64</f>
        <v>0</v>
      </c>
      <c r="S112" s="1">
        <f>'System Parameters'!I64</f>
        <v>0</v>
      </c>
      <c r="T112" s="1">
        <f>'System Parameters'!J64</f>
        <v>0</v>
      </c>
      <c r="U112" s="1">
        <f>'System Parameters'!K64</f>
        <v>0</v>
      </c>
      <c r="V112" s="1">
        <f>'System Parameters'!L64</f>
        <v>0</v>
      </c>
    </row>
    <row r="113" customHeight="1" spans="1:22">
      <c r="A113" s="1">
        <f>'System Parameters'!A65</f>
        <v>0</v>
      </c>
      <c r="B113" s="1">
        <f>'System Parameters'!B65</f>
        <v>0</v>
      </c>
      <c r="C113" s="1">
        <f>'System Parameters'!C65</f>
        <v>0</v>
      </c>
      <c r="D113" s="1">
        <f>'System Parameters'!D65</f>
        <v>0</v>
      </c>
      <c r="O113" s="1">
        <f>'System Parameters'!E65</f>
        <v>0</v>
      </c>
      <c r="P113" s="1">
        <f>'System Parameters'!F65</f>
        <v>0</v>
      </c>
      <c r="Q113" s="1">
        <f>'System Parameters'!G65</f>
        <v>0</v>
      </c>
      <c r="R113" s="1">
        <f>'System Parameters'!H65</f>
        <v>0</v>
      </c>
      <c r="S113" s="1">
        <f>'System Parameters'!I65</f>
        <v>0</v>
      </c>
      <c r="T113" s="1">
        <f>'System Parameters'!J65</f>
        <v>0</v>
      </c>
      <c r="U113" s="1">
        <f>'System Parameters'!K65</f>
        <v>0</v>
      </c>
      <c r="V113" s="1">
        <f>'System Parameters'!L65</f>
        <v>0</v>
      </c>
    </row>
    <row r="114" customHeight="1" spans="1:22">
      <c r="A114" s="1">
        <f>'System Parameters'!A66</f>
        <v>0</v>
      </c>
      <c r="B114" s="1">
        <f>'System Parameters'!B66</f>
        <v>0</v>
      </c>
      <c r="C114" s="1">
        <f>'System Parameters'!C66</f>
        <v>0</v>
      </c>
      <c r="D114" s="1">
        <f>'System Parameters'!D66</f>
        <v>0</v>
      </c>
      <c r="O114" s="1">
        <f>'System Parameters'!E66</f>
        <v>0</v>
      </c>
      <c r="P114" s="1">
        <f>'System Parameters'!F66</f>
        <v>0</v>
      </c>
      <c r="Q114" s="1">
        <f>'System Parameters'!G66</f>
        <v>0</v>
      </c>
      <c r="R114" s="1">
        <f>'System Parameters'!H66</f>
        <v>0</v>
      </c>
      <c r="S114" s="1">
        <f>'System Parameters'!I66</f>
        <v>0</v>
      </c>
      <c r="T114" s="1">
        <f>'System Parameters'!J66</f>
        <v>0</v>
      </c>
      <c r="U114" s="1">
        <f>'System Parameters'!K66</f>
        <v>0</v>
      </c>
      <c r="V114" s="1">
        <f>'System Parameters'!L66</f>
        <v>0</v>
      </c>
    </row>
    <row r="115" customHeight="1" spans="1:22">
      <c r="A115" s="1">
        <f>'System Parameters'!A67</f>
        <v>0</v>
      </c>
      <c r="B115" s="1">
        <f>'System Parameters'!B67</f>
        <v>0</v>
      </c>
      <c r="C115" s="1">
        <f>'System Parameters'!C67</f>
        <v>0</v>
      </c>
      <c r="D115" s="1">
        <f>'System Parameters'!D67</f>
        <v>0</v>
      </c>
      <c r="O115" s="1">
        <f>'System Parameters'!E67</f>
        <v>0</v>
      </c>
      <c r="P115" s="1">
        <f>'System Parameters'!F67</f>
        <v>0</v>
      </c>
      <c r="Q115" s="1">
        <f>'System Parameters'!G67</f>
        <v>0</v>
      </c>
      <c r="R115" s="1">
        <f>'System Parameters'!H67</f>
        <v>0</v>
      </c>
      <c r="S115" s="1">
        <f>'System Parameters'!I67</f>
        <v>0</v>
      </c>
      <c r="T115" s="1">
        <f>'System Parameters'!J67</f>
        <v>0</v>
      </c>
      <c r="U115" s="1">
        <f>'System Parameters'!K67</f>
        <v>0</v>
      </c>
      <c r="V115" s="1">
        <f>'System Parameters'!L67</f>
        <v>0</v>
      </c>
    </row>
    <row r="116" customHeight="1" spans="1:22">
      <c r="A116" s="1">
        <f>'System Parameters'!A68</f>
        <v>0</v>
      </c>
      <c r="B116" s="1">
        <f>'System Parameters'!B68</f>
        <v>0</v>
      </c>
      <c r="C116" s="1">
        <f>'System Parameters'!C68</f>
        <v>0</v>
      </c>
      <c r="D116" s="1">
        <f>'System Parameters'!D68</f>
        <v>0</v>
      </c>
      <c r="O116" s="1">
        <f>'System Parameters'!E68</f>
        <v>0</v>
      </c>
      <c r="P116" s="1">
        <f>'System Parameters'!F68</f>
        <v>0</v>
      </c>
      <c r="Q116" s="1">
        <f>'System Parameters'!G68</f>
        <v>0</v>
      </c>
      <c r="R116" s="1">
        <f>'System Parameters'!H68</f>
        <v>0</v>
      </c>
      <c r="S116" s="1">
        <f>'System Parameters'!I68</f>
        <v>0</v>
      </c>
      <c r="T116" s="1">
        <f>'System Parameters'!J68</f>
        <v>0</v>
      </c>
      <c r="U116" s="1">
        <f>'System Parameters'!K68</f>
        <v>0</v>
      </c>
      <c r="V116" s="1">
        <f>'System Parameters'!L68</f>
        <v>0</v>
      </c>
    </row>
    <row r="117" customHeight="1" spans="1:22">
      <c r="A117" s="1">
        <f>'System Parameters'!A69</f>
        <v>0</v>
      </c>
      <c r="B117" s="1">
        <f>'System Parameters'!B69</f>
        <v>0</v>
      </c>
      <c r="C117" s="1">
        <f>'System Parameters'!C69</f>
        <v>0</v>
      </c>
      <c r="D117" s="1">
        <f>'System Parameters'!D69</f>
        <v>0</v>
      </c>
      <c r="O117" s="1">
        <f>'System Parameters'!E69</f>
        <v>0</v>
      </c>
      <c r="P117" s="1">
        <f>'System Parameters'!F69</f>
        <v>0</v>
      </c>
      <c r="Q117" s="1">
        <f>'System Parameters'!G69</f>
        <v>0</v>
      </c>
      <c r="R117" s="1">
        <f>'System Parameters'!H69</f>
        <v>0</v>
      </c>
      <c r="S117" s="1">
        <f>'System Parameters'!I69</f>
        <v>0</v>
      </c>
      <c r="T117" s="1">
        <f>'System Parameters'!J69</f>
        <v>0</v>
      </c>
      <c r="U117" s="1">
        <f>'System Parameters'!K69</f>
        <v>0</v>
      </c>
      <c r="V117" s="1">
        <f>'System Parameters'!L69</f>
        <v>0</v>
      </c>
    </row>
    <row r="118" customHeight="1" spans="1:22">
      <c r="A118" s="1">
        <f>'System Parameters'!A70</f>
        <v>0</v>
      </c>
      <c r="B118" s="1">
        <f>'System Parameters'!B70</f>
        <v>0</v>
      </c>
      <c r="C118" s="1">
        <f>'System Parameters'!C70</f>
        <v>0</v>
      </c>
      <c r="D118" s="1">
        <f>'System Parameters'!D70</f>
        <v>0</v>
      </c>
      <c r="O118" s="1">
        <f>'System Parameters'!E70</f>
        <v>0</v>
      </c>
      <c r="P118" s="1">
        <f>'System Parameters'!F70</f>
        <v>0</v>
      </c>
      <c r="Q118" s="1">
        <f>'System Parameters'!G70</f>
        <v>0</v>
      </c>
      <c r="R118" s="1">
        <f>'System Parameters'!H70</f>
        <v>0</v>
      </c>
      <c r="S118" s="1">
        <f>'System Parameters'!I70</f>
        <v>0</v>
      </c>
      <c r="T118" s="1">
        <f>'System Parameters'!J70</f>
        <v>0</v>
      </c>
      <c r="U118" s="1">
        <f>'System Parameters'!K70</f>
        <v>0</v>
      </c>
      <c r="V118" s="1">
        <f>'System Parameters'!L70</f>
        <v>0</v>
      </c>
    </row>
  </sheetData>
  <pageMargins left="0" right="0" top="0" bottom="0" header="0" footer="0"/>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2</vt:i4>
      </vt:variant>
    </vt:vector>
  </HeadingPairs>
  <TitlesOfParts>
    <vt:vector size="2" baseType="lpstr">
      <vt:lpstr>System Parameters</vt:lpstr>
      <vt:lpstr>Sensitivity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玘木</cp:lastModifiedBy>
  <dcterms:created xsi:type="dcterms:W3CDTF">2026-02-05T01:38:00Z</dcterms:created>
  <dcterms:modified xsi:type="dcterms:W3CDTF">2026-02-09T00:32:01Z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8714AC9662C449D28D76B75FB46D20BA_12</vt:lpwstr>
  </property>
  <property fmtid="{D5CDD505-2E9C-101B-9397-08002B2CF9AE}" pid="3" name="KSOProductBuildVer">
    <vt:lpwstr>2052-12.1.0.23542</vt:lpwstr>
  </property>
</Properties>
</file>